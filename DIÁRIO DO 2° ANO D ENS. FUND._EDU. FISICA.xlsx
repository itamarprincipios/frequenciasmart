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Secret. Escolar" sheetId="2" r:id="rId6"/>
    <sheet state="visible" name="Nome Aluno" sheetId="3" r:id="rId7"/>
    <sheet state="visible" name="Frequência 1º Bim" sheetId="4" r:id="rId8"/>
    <sheet state="visible" name="Reg. Aulas 1º Bim" sheetId="5" r:id="rId9"/>
    <sheet state="visible" name="OBS 1º Bim." sheetId="6" r:id="rId10"/>
    <sheet state="visible" name="Frequência 2º Bim" sheetId="7" r:id="rId11"/>
    <sheet state="visible" name="Reg. Aulas 2º Bim" sheetId="8" r:id="rId12"/>
    <sheet state="visible" name="OBS 2º Bim." sheetId="9" r:id="rId13"/>
    <sheet state="visible" name="Acompanhamento 1º Semestre." sheetId="10" r:id="rId14"/>
    <sheet state="visible" name="Avaliação 1º Semestre." sheetId="11" r:id="rId15"/>
    <sheet state="visible" name="Frequência 3º Bim" sheetId="12" r:id="rId16"/>
    <sheet state="visible" name="Reg. Aulas 3º Bim" sheetId="13" r:id="rId17"/>
    <sheet state="visible" name="OBS 3º Bim." sheetId="14" r:id="rId18"/>
    <sheet state="visible" name="Frequência 4º Bim" sheetId="15" r:id="rId19"/>
    <sheet state="visible" name="Reg. Aulas 4º Bim" sheetId="16" r:id="rId20"/>
    <sheet state="visible" name="OBS 4º Bim." sheetId="17" r:id="rId21"/>
    <sheet state="visible" name="Acompanhamento 2º Semestre." sheetId="18" r:id="rId22"/>
    <sheet state="visible" name="Avaliação 2º Semestre." sheetId="19" r:id="rId23"/>
    <sheet state="visible" name="Resultado Final" sheetId="20" r:id="rId24"/>
    <sheet state="hidden" name="Referência" sheetId="21" r:id="rId25"/>
    <sheet state="visible" name="Legenda" sheetId="22" r:id="rId26"/>
    <sheet state="visible" name="Sobrecapa" sheetId="23" r:id="rId27"/>
  </sheets>
  <definedNames/>
  <calcPr/>
</workbook>
</file>

<file path=xl/sharedStrings.xml><?xml version="1.0" encoding="utf-8"?>
<sst xmlns="http://schemas.openxmlformats.org/spreadsheetml/2006/main" count="720" uniqueCount="208">
  <si>
    <t>ESTADO DE RORAIMA</t>
  </si>
  <si>
    <t>PREFEITURA MUNICIPAL DE RORAINÓPOLIS</t>
  </si>
  <si>
    <t>SECRETARIA MUNICIPAL DE EDUCAÇÃO</t>
  </si>
  <si>
    <t>ESCOLA MUNICIPAL DE ENSINO FUNDAMENTAL PROFESSOR HILDEMAR PEREIRA DE FIGUEREDO</t>
  </si>
  <si>
    <t>Diário de Classe</t>
  </si>
  <si>
    <t>Ensino Fundamental - (Anos Iniciais)</t>
  </si>
  <si>
    <t>Curso/Modalidade: REGULAR</t>
  </si>
  <si>
    <t xml:space="preserve">Ano: </t>
  </si>
  <si>
    <t>2°</t>
  </si>
  <si>
    <t xml:space="preserve">Turma: </t>
  </si>
  <si>
    <t>D</t>
  </si>
  <si>
    <t>Turno:</t>
  </si>
  <si>
    <t>Vespertino</t>
  </si>
  <si>
    <t>Ano Letivo:</t>
  </si>
  <si>
    <t>Professor(a):</t>
  </si>
  <si>
    <t>ITAMAR VIEIRA NUNES</t>
  </si>
  <si>
    <t xml:space="preserve">Componente Curricular: </t>
  </si>
  <si>
    <t>Educaçao Física</t>
  </si>
  <si>
    <t>Horário</t>
  </si>
  <si>
    <t>Aula</t>
  </si>
  <si>
    <t>Segunda</t>
  </si>
  <si>
    <t>Terça</t>
  </si>
  <si>
    <t>Quarta</t>
  </si>
  <si>
    <t>Quinta</t>
  </si>
  <si>
    <t>Sexta</t>
  </si>
  <si>
    <r>
      <rPr>
        <rFont val="Times New Roman"/>
        <color theme="1"/>
        <sz val="14.0"/>
      </rPr>
      <t xml:space="preserve">1º Bimestre       </t>
    </r>
    <r>
      <rPr>
        <rFont val="Arial"/>
        <color theme="1"/>
      </rPr>
      <t xml:space="preserve">                                         </t>
    </r>
  </si>
  <si>
    <t xml:space="preserve">2º Bimestre          </t>
  </si>
  <si>
    <t xml:space="preserve">3º Bimestre          </t>
  </si>
  <si>
    <t xml:space="preserve">4º Bimestre          </t>
  </si>
  <si>
    <t>Nº</t>
  </si>
  <si>
    <t>NOME DO ALUNO (A)</t>
  </si>
  <si>
    <t xml:space="preserve">Movimentações </t>
  </si>
  <si>
    <t xml:space="preserve">Total de Falats </t>
  </si>
  <si>
    <t>Observações</t>
  </si>
  <si>
    <t>Adriana Sofia Gonzalez Torres</t>
  </si>
  <si>
    <t>Alyson Lucas de Sousa Alencar</t>
  </si>
  <si>
    <t>Ana Clara Silva Zanolim</t>
  </si>
  <si>
    <t>Antônio Alves Pereira de Souza</t>
  </si>
  <si>
    <t>Cecília Resende dos Santos</t>
  </si>
  <si>
    <t>Emanuelly Vale da Silva</t>
  </si>
  <si>
    <t>Glloria Vitorya Moreira do Vale</t>
  </si>
  <si>
    <t>Izabelly Vitória Pereira Muniz</t>
  </si>
  <si>
    <t>Kaleu Carneiro Mesquita Tavares</t>
  </si>
  <si>
    <t>Lelimar Sofia Reyes Febres</t>
  </si>
  <si>
    <t>Luiz Gustavo Rodrigues Carneiro</t>
  </si>
  <si>
    <t>Luiz Otávio Santos de Sousa</t>
  </si>
  <si>
    <t>Maria Valentina de Souza</t>
  </si>
  <si>
    <t>Maysa Barros Caitano dos Santos</t>
  </si>
  <si>
    <t>Melissa Oliveira Magalhães</t>
  </si>
  <si>
    <t>Neilson de Oliveira Carneiro</t>
  </si>
  <si>
    <t>Sarah Gabrielle Coelho Lopes</t>
  </si>
  <si>
    <t>Sophia Pereira de Oliveira</t>
  </si>
  <si>
    <t>Wuilmer Adrian Ramos Salazar</t>
  </si>
  <si>
    <t>Movimentações</t>
  </si>
  <si>
    <t>Nº.</t>
  </si>
  <si>
    <t>Nome do Aluno (a)</t>
  </si>
  <si>
    <t>Nº ALUNO</t>
  </si>
  <si>
    <t>Movimentções</t>
  </si>
  <si>
    <t>Registro de Frequência</t>
  </si>
  <si>
    <t>AULAS DADAS</t>
  </si>
  <si>
    <t>Total de falta</t>
  </si>
  <si>
    <t>Nome dos alunos</t>
  </si>
  <si>
    <t>.</t>
  </si>
  <si>
    <t>f</t>
  </si>
  <si>
    <t>DATA</t>
  </si>
  <si>
    <t>UNIDADE TEMÁTICA</t>
  </si>
  <si>
    <t xml:space="preserve">Resumo dos objetos de conhecimentos e metodologias trabalhados </t>
  </si>
  <si>
    <t>Quadro de encerramento do Bimestre</t>
  </si>
  <si>
    <t>Aulas Previstas</t>
  </si>
  <si>
    <t xml:space="preserve">Assinatura do Professor (a) </t>
  </si>
  <si>
    <t>Data ___/_____/_____</t>
  </si>
  <si>
    <t>Aulas Dadas</t>
  </si>
  <si>
    <t>Carimbo e visto da Autoridade Escolar                                                         
                 Encerrado em _______________________</t>
  </si>
  <si>
    <t>OBSERVAÇÕES DAS FREQUÊNCIAS</t>
  </si>
  <si>
    <t>OBSERVAÇÕES DOS REGISTROS</t>
  </si>
  <si>
    <t>Ass. e carimbo da autoridade escolar</t>
  </si>
  <si>
    <t>Data ____/____/____</t>
  </si>
  <si>
    <t xml:space="preserve">RESERVADO AO PROFESSOR (A) DE EDUCAÇÃO FÍSICA    </t>
  </si>
  <si>
    <t>Acompanhamento do desenvolvimentos físico do aluno</t>
  </si>
  <si>
    <t>Nº do Aluno</t>
  </si>
  <si>
    <t xml:space="preserve">  Movimentções
</t>
  </si>
  <si>
    <t>Data do acompanhamento</t>
  </si>
  <si>
    <t>Sexo</t>
  </si>
  <si>
    <t>Idade</t>
  </si>
  <si>
    <t>Peso</t>
  </si>
  <si>
    <t>Estatura</t>
  </si>
  <si>
    <t>IMC</t>
  </si>
  <si>
    <t>Situação</t>
  </si>
  <si>
    <t>LEGENDA:</t>
  </si>
  <si>
    <t>Abaixo do peso</t>
  </si>
  <si>
    <t>Diretor:</t>
  </si>
  <si>
    <t>Normal</t>
  </si>
  <si>
    <t>Sobrepeso</t>
  </si>
  <si>
    <t>Obesidade</t>
  </si>
  <si>
    <t>Coordenador:</t>
  </si>
  <si>
    <t>Nº DO ALUNO</t>
  </si>
  <si>
    <t>AVALIAÇÕES CONTÍNUAS e PROCESSUAIS</t>
  </si>
  <si>
    <t>TOTAL DE FALTA</t>
  </si>
  <si>
    <t xml:space="preserve">%   Faltas Semestral </t>
  </si>
  <si>
    <t>VALORES E ATITUDES</t>
  </si>
  <si>
    <t xml:space="preserve">           Movimentções
</t>
  </si>
  <si>
    <t>Relacionamento</t>
  </si>
  <si>
    <t>Assiduidade</t>
  </si>
  <si>
    <t>Pontualidade</t>
  </si>
  <si>
    <t>Expressividade</t>
  </si>
  <si>
    <t>Equilibrio</t>
  </si>
  <si>
    <t>Coordenação</t>
  </si>
  <si>
    <t>Aula Prática</t>
  </si>
  <si>
    <t>Aula Teórica</t>
  </si>
  <si>
    <t>Conc. avaliativos</t>
  </si>
  <si>
    <t>LEGENDA DE CONCEITOS AVALIATIVOS</t>
  </si>
  <si>
    <t xml:space="preserve">1. REGULAR </t>
  </si>
  <si>
    <t xml:space="preserve">2. BOM </t>
  </si>
  <si>
    <t>3. MUITO BOM</t>
  </si>
  <si>
    <t>4. ÓTIMO</t>
  </si>
  <si>
    <t>Quadro de encerramento bimestral</t>
  </si>
  <si>
    <t>Encerramento ____________</t>
  </si>
  <si>
    <t>Ass. e Carimbo da Autoridade Escolar</t>
  </si>
  <si>
    <t>Data:___________________</t>
  </si>
  <si>
    <t xml:space="preserve">                                             DEPARTAMENTO DE ENSINO E ASSUNTOS PEDAGÓGICOS-DEAPS</t>
  </si>
  <si>
    <t>COORDENAÇÃO PEDAGÓGICA</t>
  </si>
  <si>
    <t>RESULTADO FINAL</t>
  </si>
  <si>
    <t>Total de Falta Bimestral</t>
  </si>
  <si>
    <t>Total Faltas Anual</t>
  </si>
  <si>
    <t>Total de Aulas Dadas</t>
  </si>
  <si>
    <t>Total Faltas 1º B</t>
  </si>
  <si>
    <t>Total Faltas 2º B</t>
  </si>
  <si>
    <t>Total Faltas 3º B</t>
  </si>
  <si>
    <t>Total Faltas 4º B</t>
  </si>
  <si>
    <t>Percentual de frequencia %</t>
  </si>
  <si>
    <t>Data da Entrega ___/____/______</t>
  </si>
  <si>
    <t xml:space="preserve">Visto do Supervisor(a):                                 </t>
  </si>
  <si>
    <t>Chave (A)</t>
  </si>
  <si>
    <t>Abaixo do peso (B)</t>
  </si>
  <si>
    <t>Normal (C)</t>
  </si>
  <si>
    <t>Sobrepeso (D)</t>
  </si>
  <si>
    <t>Obesidade (E)</t>
  </si>
  <si>
    <t>6M</t>
  </si>
  <si>
    <t>6F</t>
  </si>
  <si>
    <t>7M</t>
  </si>
  <si>
    <t>7F</t>
  </si>
  <si>
    <t>8M</t>
  </si>
  <si>
    <t>8F</t>
  </si>
  <si>
    <t>9M</t>
  </si>
  <si>
    <t>9F</t>
  </si>
  <si>
    <t>10M</t>
  </si>
  <si>
    <t>10F</t>
  </si>
  <si>
    <t>11M</t>
  </si>
  <si>
    <t>11F</t>
  </si>
  <si>
    <t>12M</t>
  </si>
  <si>
    <t>12F</t>
  </si>
  <si>
    <t>13M</t>
  </si>
  <si>
    <t>13F</t>
  </si>
  <si>
    <t>14M</t>
  </si>
  <si>
    <t>14F</t>
  </si>
  <si>
    <t>15M</t>
  </si>
  <si>
    <t>15F</t>
  </si>
  <si>
    <t>Legendas:</t>
  </si>
  <si>
    <t>NA LISTA NOMINAL</t>
  </si>
  <si>
    <t>Nº=Número do(a) Aluno (a)</t>
  </si>
  <si>
    <t>NO CAMPO DE FREQUÊNCIA:</t>
  </si>
  <si>
    <t>TFB=Total de Faltas bimestral;</t>
  </si>
  <si>
    <t>NO CAMPO DE AVALIAÇÃO:</t>
  </si>
  <si>
    <t>NO QUADRO OFICIAL DE RESULTADO:</t>
  </si>
  <si>
    <t>MB=Media Bimestral;</t>
  </si>
  <si>
    <t>TFA=Total de Faltas Anual;</t>
  </si>
  <si>
    <t>RF=Resultado Final;</t>
  </si>
  <si>
    <t>AD=Aulas Dadas;</t>
  </si>
  <si>
    <t>AP= Aulas Previstas;</t>
  </si>
  <si>
    <t xml:space="preserve">Brinc= Brincadeiras </t>
  </si>
  <si>
    <t>P=Práticas</t>
  </si>
  <si>
    <t>NO QUADRO DE AVALIAÇÃO CONTÍNUA</t>
  </si>
  <si>
    <t>CONCEITOS AVALIATIVOS</t>
  </si>
  <si>
    <t>PA= Participação</t>
  </si>
  <si>
    <t>AS= Assiduidade</t>
  </si>
  <si>
    <t>PO= Pontualidade</t>
  </si>
  <si>
    <t>B</t>
  </si>
  <si>
    <t>R</t>
  </si>
  <si>
    <t>O</t>
  </si>
  <si>
    <t>EX=Expressividade</t>
  </si>
  <si>
    <t>Bom</t>
  </si>
  <si>
    <t>Regular</t>
  </si>
  <si>
    <t>Ótimo</t>
  </si>
  <si>
    <t>EQ=Equilibrio</t>
  </si>
  <si>
    <t>COOR=Coordenação</t>
  </si>
  <si>
    <t>AP= Aula Prática</t>
  </si>
  <si>
    <t>AT=Aula Teóeica</t>
  </si>
  <si>
    <t>Hino de Rorainópolis – RR</t>
  </si>
  <si>
    <t>As margens do azul Anauá</t>
  </si>
  <si>
    <t>Na linha que Ostenta o Equador</t>
  </si>
  <si>
    <t>Nos rincões do sul de Roraima</t>
  </si>
  <si>
    <t>Rorainópolis surgiu com fervor</t>
  </si>
  <si>
    <t>De um povo forte e retumbante</t>
  </si>
  <si>
    <t>Migrante, que veio integrar</t>
  </si>
  <si>
    <t>Terra que emana fartura infinita</t>
  </si>
  <si>
    <t>O teu futuro é glorioso e sem par.</t>
  </si>
  <si>
    <t>Salve! Salve! Rorainópolis</t>
  </si>
  <si>
    <t>Faça tremer o nosso pendão</t>
  </si>
  <si>
    <t>Faça erguer o teu estandarte</t>
  </si>
  <si>
    <t>Para orgulho da nossa nação.</t>
  </si>
  <si>
    <t>Quando as mãos de Deus te criou</t>
  </si>
  <si>
    <t>Bela e pujante tu ressurgiu</t>
  </si>
  <si>
    <t>Na paisagem do verde infinito</t>
  </si>
  <si>
    <t>Extremo norte do nosso Brasil</t>
  </si>
  <si>
    <t>De uma nobreza que sublima</t>
  </si>
  <si>
    <t>Teu clima que é tropical</t>
  </si>
  <si>
    <t>Na abundância das tuas jazidas</t>
  </si>
  <si>
    <t>Da tantalita que é sem igual.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</si>
</sst>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\ 0000\ 0000"/>
    <numFmt numFmtId="165" formatCode="dd/MM/yyyy"/>
    <numFmt numFmtId="166" formatCode="dd/mm/yyyy"/>
    <numFmt numFmtId="167" formatCode="d.m"/>
    <numFmt numFmtId="168" formatCode="dd.mm.yy"/>
    <numFmt numFmtId="169" formatCode="0.0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&quot;Times New Roman&quot;"/>
    </font>
    <font>
      <b/>
      <sz val="13.0"/>
      <color rgb="FF000000"/>
      <name val="&quot;Times New Roman&quot;"/>
    </font>
    <font>
      <sz val="20.0"/>
      <color rgb="FF000000"/>
      <name val="&quot;Times New Roman&quot;"/>
    </font>
    <font>
      <b/>
      <sz val="20.0"/>
      <color rgb="FF000000"/>
      <name val="&quot;Times New Roman&quot;"/>
    </font>
    <font>
      <b/>
      <sz val="14.0"/>
      <color rgb="FF000000"/>
      <name val="&quot;Times New Roman&quot;"/>
    </font>
    <font>
      <b/>
      <sz val="18.0"/>
      <color rgb="FF000000"/>
      <name val="&quot;Times New Roman&quot;"/>
    </font>
    <font>
      <sz val="12.0"/>
      <color rgb="FF000000"/>
      <name val="&quot;Times New Roman&quot;"/>
    </font>
    <font/>
    <font>
      <sz val="17.0"/>
      <color theme="1"/>
      <name val="Impact"/>
    </font>
    <font>
      <color theme="1"/>
      <name val="Arial"/>
    </font>
    <font>
      <sz val="12.0"/>
      <color theme="1"/>
      <name val="&quot;Times New Roman&quot;"/>
    </font>
    <font>
      <sz val="14.0"/>
      <color theme="1"/>
      <name val="Times New Roman"/>
    </font>
    <font>
      <sz val="12.0"/>
      <color theme="1"/>
      <name val="Times New Roman"/>
    </font>
    <font>
      <sz val="12.0"/>
      <color rgb="FF1F1F1F"/>
      <name val="Times New Roman"/>
    </font>
    <font>
      <sz val="14.0"/>
      <color rgb="FF1F1F1F"/>
      <name val="Times New Roman"/>
    </font>
    <font>
      <sz val="13.0"/>
      <color theme="1"/>
      <name val="Arial"/>
    </font>
    <font>
      <sz val="13.0"/>
      <color rgb="FF000000"/>
      <name val="Arial"/>
    </font>
    <font>
      <sz val="12.0"/>
      <color rgb="FF0F243E"/>
      <name val="&quot;Times New Roman&quot;"/>
    </font>
    <font>
      <sz val="14.0"/>
      <color rgb="FF0F243E"/>
      <name val="&quot;Times New Roman&quot;"/>
    </font>
    <font>
      <sz val="13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Calibri"/>
    </font>
    <font>
      <sz val="9.0"/>
      <color rgb="FF000000"/>
      <name val="&quot;Times New Roman&quot;"/>
    </font>
    <font>
      <color rgb="FF000000"/>
      <name val="&quot;Times New Roman&quot;"/>
    </font>
    <font>
      <sz val="11.0"/>
      <color theme="1"/>
      <name val="&quot;Times New Roman&quot;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000000"/>
      <name val="&quot;Times New Roman&quot;"/>
    </font>
    <font>
      <b/>
      <sz val="14.0"/>
      <color theme="1"/>
      <name val="Times New Roman"/>
    </font>
    <font>
      <color theme="1"/>
      <name val="Times New Roman"/>
    </font>
    <font>
      <sz val="8.0"/>
      <color rgb="FF000000"/>
      <name val="&quot;Times New Roman&quot;"/>
    </font>
    <font>
      <sz val="9.0"/>
      <color theme="1"/>
      <name val="Arial"/>
    </font>
    <font>
      <sz val="9.0"/>
      <color rgb="FF11A9CC"/>
      <name val="Arial"/>
      <scheme val="minor"/>
    </font>
    <font>
      <b/>
      <color theme="1"/>
      <name val="&quot;Times New Roman&quot;"/>
    </font>
    <font>
      <sz val="11.0"/>
      <color theme="1"/>
      <name val="Calibri"/>
    </font>
    <font>
      <sz val="9.0"/>
      <color theme="1"/>
      <name val="&quot;Times New Roman&quot;"/>
    </font>
    <font>
      <b/>
      <color theme="1"/>
      <name val="Arial"/>
    </font>
    <font>
      <b/>
      <color theme="1"/>
      <name val="Times New Roman"/>
    </font>
    <font>
      <b/>
      <sz val="13.0"/>
      <color theme="1"/>
      <name val="Times New Roman"/>
    </font>
    <font>
      <sz val="14.0"/>
      <color rgb="FF000000"/>
      <name val="Times New Roman"/>
    </font>
    <font>
      <sz val="11.0"/>
      <color rgb="FF000000"/>
      <name val="Calibri"/>
    </font>
    <font>
      <b/>
      <sz val="19.0"/>
      <color theme="1"/>
      <name val="&quot;Times New Roman&quot;"/>
    </font>
    <font>
      <b/>
      <sz val="14.0"/>
      <color rgb="FF44444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34A853"/>
        <bgColor rgb="FF34A853"/>
      </patternFill>
    </fill>
    <fill>
      <patternFill patternType="solid">
        <fgColor rgb="FFF1C232"/>
        <bgColor rgb="FFF1C232"/>
      </patternFill>
    </fill>
    <fill>
      <patternFill patternType="solid">
        <fgColor rgb="FFEA4335"/>
        <bgColor rgb="FFEA4335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1" fillId="0" fontId="8" numFmtId="0" xfId="0" applyAlignment="1" applyBorder="1" applyFont="1">
      <alignment horizontal="center" readingOrder="0" shrinkToFit="0" vertical="center" wrapText="0"/>
    </xf>
    <xf borderId="2" fillId="0" fontId="9" numFmtId="0" xfId="0" applyBorder="1" applyFont="1"/>
    <xf borderId="3" fillId="0" fontId="9" numFmtId="0" xfId="0" applyBorder="1" applyFont="1"/>
    <xf borderId="2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4" fillId="0" fontId="1" numFmtId="0" xfId="0" applyBorder="1" applyFont="1"/>
    <xf borderId="5" fillId="0" fontId="9" numFmtId="0" xfId="0" applyBorder="1" applyFont="1"/>
    <xf borderId="6" fillId="0" fontId="9" numFmtId="0" xfId="0" applyBorder="1" applyFont="1"/>
    <xf borderId="5" fillId="0" fontId="1" numFmtId="0" xfId="0" applyBorder="1" applyFont="1"/>
    <xf borderId="0" fillId="0" fontId="10" numFmtId="0" xfId="0" applyAlignment="1" applyFont="1">
      <alignment horizontal="center" vertical="bottom"/>
    </xf>
    <xf borderId="0" fillId="0" fontId="11" numFmtId="0" xfId="0" applyFont="1"/>
    <xf borderId="0" fillId="0" fontId="12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7" fillId="0" fontId="14" numFmtId="0" xfId="0" applyAlignment="1" applyBorder="1" applyFont="1">
      <alignment horizontal="center" vertical="center"/>
    </xf>
    <xf borderId="6" fillId="3" fontId="15" numFmtId="0" xfId="0" applyAlignment="1" applyBorder="1" applyFill="1" applyFont="1">
      <alignment horizontal="center" vertical="center"/>
    </xf>
    <xf borderId="6" fillId="0" fontId="13" numFmtId="0" xfId="0" applyAlignment="1" applyBorder="1" applyFont="1">
      <alignment horizontal="center" readingOrder="0" shrinkToFit="0" vertical="center" wrapText="1"/>
    </xf>
    <xf borderId="6" fillId="3" fontId="16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vertical="bottom"/>
    </xf>
    <xf borderId="8" fillId="0" fontId="17" numFmtId="0" xfId="0" applyAlignment="1" applyBorder="1" applyFont="1">
      <alignment horizontal="left" readingOrder="0" shrinkToFit="0" wrapText="0"/>
    </xf>
    <xf borderId="6" fillId="3" fontId="11" numFmtId="0" xfId="0" applyAlignment="1" applyBorder="1" applyFont="1">
      <alignment vertical="bottom"/>
    </xf>
    <xf borderId="8" fillId="0" fontId="18" numFmtId="0" xfId="0" applyAlignment="1" applyBorder="1" applyFont="1">
      <alignment horizontal="left" readingOrder="0"/>
    </xf>
    <xf borderId="8" fillId="0" fontId="17" numFmtId="0" xfId="0" applyAlignment="1" applyBorder="1" applyFont="1">
      <alignment readingOrder="0"/>
    </xf>
    <xf borderId="9" fillId="0" fontId="17" numFmtId="164" xfId="0" applyAlignment="1" applyBorder="1" applyFont="1" applyNumberFormat="1">
      <alignment horizontal="left" readingOrder="0" shrinkToFit="0" wrapText="0"/>
    </xf>
    <xf borderId="7" fillId="0" fontId="17" numFmtId="0" xfId="0" applyAlignment="1" applyBorder="1" applyFont="1">
      <alignment horizontal="left" readingOrder="0" shrinkToFit="0" wrapText="0"/>
    </xf>
    <xf borderId="8" fillId="0" fontId="17" numFmtId="0" xfId="0" applyAlignment="1" applyBorder="1" applyFont="1">
      <alignment horizontal="left" readingOrder="0"/>
    </xf>
    <xf borderId="6" fillId="0" fontId="11" numFmtId="0" xfId="0" applyAlignment="1" applyBorder="1" applyFont="1">
      <alignment vertical="bottom"/>
    </xf>
    <xf borderId="1" fillId="0" fontId="19" numFmtId="0" xfId="0" applyAlignment="1" applyBorder="1" applyFont="1">
      <alignment horizontal="left" readingOrder="0" shrinkToFit="0" wrapText="0"/>
    </xf>
    <xf borderId="10" fillId="0" fontId="20" numFmtId="0" xfId="0" applyAlignment="1" applyBorder="1" applyFont="1">
      <alignment horizontal="center" readingOrder="0" shrinkToFit="0" textRotation="90" vertical="center" wrapText="0"/>
    </xf>
    <xf borderId="9" fillId="0" fontId="9" numFmtId="0" xfId="0" applyBorder="1" applyFont="1"/>
    <xf borderId="7" fillId="0" fontId="19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center" readingOrder="0" shrinkToFit="0" wrapText="0"/>
    </xf>
    <xf borderId="7" fillId="0" fontId="9" numFmtId="0" xfId="0" applyBorder="1" applyFont="1"/>
    <xf borderId="8" fillId="3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8" fillId="3" fontId="11" numFmtId="164" xfId="0" applyAlignment="1" applyBorder="1" applyFont="1" applyNumberFormat="1">
      <alignment vertical="bottom"/>
    </xf>
    <xf borderId="8" fillId="0" fontId="1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wrapText="1"/>
    </xf>
    <xf borderId="9" fillId="0" fontId="8" numFmtId="0" xfId="0" applyAlignment="1" applyBorder="1" applyFont="1">
      <alignment horizontal="center" readingOrder="0" textRotation="90" vertical="center"/>
    </xf>
    <xf borderId="10" fillId="0" fontId="3" numFmtId="0" xfId="0" applyAlignment="1" applyBorder="1" applyFont="1">
      <alignment horizontal="center" readingOrder="0" shrinkToFit="0" vertical="center" wrapText="0"/>
    </xf>
    <xf borderId="10" fillId="0" fontId="21" numFmtId="0" xfId="0" applyAlignment="1" applyBorder="1" applyFont="1">
      <alignment horizontal="center" readingOrder="0" shrinkToFit="0" textRotation="9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11" fillId="0" fontId="8" numFmtId="0" xfId="0" applyAlignment="1" applyBorder="1" applyFont="1">
      <alignment horizontal="center" readingOrder="0" shrinkToFit="0" textRotation="90" vertical="center" wrapText="0"/>
    </xf>
    <xf borderId="6" fillId="0" fontId="8" numFmtId="0" xfId="0" applyAlignment="1" applyBorder="1" applyFont="1">
      <alignment horizontal="center" readingOrder="0" shrinkToFit="0" vertical="center" wrapText="0"/>
    </xf>
    <xf borderId="10" fillId="0" fontId="8" numFmtId="0" xfId="0" applyAlignment="1" applyBorder="1" applyFont="1">
      <alignment horizontal="center" readingOrder="0" shrinkToFit="0" textRotation="90" vertical="center" wrapText="0"/>
    </xf>
    <xf borderId="6" fillId="0" fontId="3" numFmtId="0" xfId="0" applyAlignment="1" applyBorder="1" applyFont="1">
      <alignment horizontal="center" readingOrder="0" textRotation="0" vertical="center"/>
    </xf>
    <xf borderId="6" fillId="0" fontId="8" numFmtId="165" xfId="0" applyAlignment="1" applyBorder="1" applyFont="1" applyNumberFormat="1">
      <alignment horizontal="center" readingOrder="0" textRotation="90"/>
    </xf>
    <xf borderId="6" fillId="0" fontId="8" numFmtId="166" xfId="0" applyAlignment="1" applyBorder="1" applyFont="1" applyNumberFormat="1">
      <alignment horizontal="center" readingOrder="0" textRotation="90"/>
    </xf>
    <xf borderId="6" fillId="0" fontId="8" numFmtId="0" xfId="0" applyAlignment="1" applyBorder="1" applyFont="1">
      <alignment horizontal="center" readingOrder="0" textRotation="90"/>
    </xf>
    <xf borderId="6" fillId="0" fontId="8" numFmtId="167" xfId="0" applyAlignment="1" applyBorder="1" applyFont="1" applyNumberFormat="1">
      <alignment horizontal="center" readingOrder="0" textRotation="90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23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center" readingOrder="0" shrinkToFit="0" textRotation="9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0"/>
    </xf>
    <xf borderId="4" fillId="0" fontId="24" numFmtId="165" xfId="0" applyAlignment="1" applyBorder="1" applyFont="1" applyNumberFormat="1">
      <alignment horizontal="center" shrinkToFit="0" textRotation="0" vertical="center" wrapText="0"/>
    </xf>
    <xf borderId="8" fillId="3" fontId="25" numFmtId="0" xfId="0" applyAlignment="1" applyBorder="1" applyFont="1">
      <alignment horizontal="center" readingOrder="0" shrinkToFit="0" vertical="center" wrapText="0"/>
    </xf>
    <xf borderId="6" fillId="0" fontId="26" numFmtId="0" xfId="0" applyAlignment="1" applyBorder="1" applyFont="1">
      <alignment readingOrder="0"/>
    </xf>
    <xf borderId="4" fillId="0" fontId="24" numFmtId="166" xfId="0" applyAlignment="1" applyBorder="1" applyFont="1" applyNumberFormat="1">
      <alignment horizontal="center" shrinkToFit="0" textRotation="0" vertical="center" wrapText="0"/>
    </xf>
    <xf borderId="6" fillId="0" fontId="27" numFmtId="0" xfId="0" applyAlignment="1" applyBorder="1" applyFont="1">
      <alignment horizontal="left" readingOrder="0"/>
    </xf>
    <xf borderId="6" fillId="0" fontId="28" numFmtId="0" xfId="0" applyAlignment="1" applyBorder="1" applyFont="1">
      <alignment horizontal="left" readingOrder="0"/>
    </xf>
    <xf borderId="11" fillId="0" fontId="27" numFmtId="0" xfId="0" applyAlignment="1" applyBorder="1" applyFont="1">
      <alignment horizontal="left" readingOrder="0"/>
    </xf>
    <xf borderId="8" fillId="0" fontId="28" numFmtId="0" xfId="0" applyAlignment="1" applyBorder="1" applyFont="1">
      <alignment horizontal="left" readingOrder="0" shrinkToFit="0" textRotation="0" vertical="center" wrapText="0"/>
    </xf>
    <xf borderId="8" fillId="0" fontId="29" numFmtId="0" xfId="0" applyAlignment="1" applyBorder="1" applyFont="1">
      <alignment horizontal="left" readingOrder="0" shrinkToFit="0" textRotation="0" vertical="center" wrapText="0"/>
    </xf>
    <xf borderId="8" fillId="0" fontId="29" numFmtId="0" xfId="0" applyAlignment="1" applyBorder="1" applyFont="1">
      <alignment horizontal="center" readingOrder="0" shrinkToFit="0" textRotation="0" vertical="center" wrapText="0"/>
    </xf>
    <xf borderId="4" fillId="0" fontId="24" numFmtId="0" xfId="0" applyAlignment="1" applyBorder="1" applyFont="1">
      <alignment horizontal="center" shrinkToFit="0" textRotation="0" vertical="center" wrapText="0"/>
    </xf>
    <xf borderId="8" fillId="0" fontId="8" numFmtId="0" xfId="0" applyAlignment="1" applyBorder="1" applyFont="1">
      <alignment horizontal="center" shrinkToFit="0" textRotation="90" vertical="center" wrapText="0"/>
    </xf>
    <xf borderId="8" fillId="0" fontId="22" numFmtId="0" xfId="0" applyAlignment="1" applyBorder="1" applyFont="1">
      <alignment horizontal="center" shrinkToFit="0" textRotation="90" vertical="center" wrapText="0"/>
    </xf>
    <xf borderId="4" fillId="0" fontId="24" numFmtId="167" xfId="0" applyAlignment="1" applyBorder="1" applyFont="1" applyNumberFormat="1">
      <alignment horizontal="center" shrinkToFit="0" textRotation="0" vertical="center" wrapText="0"/>
    </xf>
    <xf borderId="1" fillId="0" fontId="22" numFmtId="0" xfId="0" applyAlignment="1" applyBorder="1" applyFont="1">
      <alignment horizontal="center" readingOrder="0" shrinkToFit="0" wrapText="0"/>
    </xf>
    <xf borderId="12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12" fillId="0" fontId="9" numFmtId="0" xfId="0" applyBorder="1" applyFont="1"/>
    <xf borderId="8" fillId="0" fontId="11" numFmtId="0" xfId="0" applyAlignment="1" applyBorder="1" applyFont="1">
      <alignment horizontal="center" vertical="bottom"/>
    </xf>
    <xf borderId="4" fillId="0" fontId="9" numFmtId="0" xfId="0" applyBorder="1" applyFont="1"/>
    <xf borderId="10" fillId="0" fontId="30" numFmtId="0" xfId="0" applyAlignment="1" applyBorder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horizontal="left" vertical="bottom"/>
    </xf>
    <xf borderId="0" fillId="0" fontId="31" numFmtId="0" xfId="0" applyAlignment="1" applyFont="1">
      <alignment horizontal="center" vertical="bottom"/>
    </xf>
    <xf borderId="0" fillId="0" fontId="1" numFmtId="0" xfId="0" applyAlignment="1" applyFont="1">
      <alignment readingOrder="0" textRotation="90"/>
    </xf>
    <xf borderId="8" fillId="0" fontId="8" numFmtId="165" xfId="0" applyAlignment="1" applyBorder="1" applyFont="1" applyNumberFormat="1">
      <alignment horizontal="center" readingOrder="0" textRotation="90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wrapText="0"/>
    </xf>
    <xf borderId="8" fillId="0" fontId="8" numFmtId="0" xfId="0" applyAlignment="1" applyBorder="1" applyFont="1">
      <alignment horizontal="center" readingOrder="0" textRotation="90" vertical="center"/>
    </xf>
    <xf borderId="3" fillId="0" fontId="6" numFmtId="0" xfId="0" applyAlignment="1" applyBorder="1" applyFont="1">
      <alignment horizontal="center" readingOrder="0" shrinkToFit="0" textRotation="0" vertical="center" wrapText="1"/>
    </xf>
    <xf borderId="3" fillId="0" fontId="22" numFmtId="0" xfId="0" applyAlignment="1" applyBorder="1" applyFont="1">
      <alignment horizontal="center" readingOrder="0" shrinkToFit="0" textRotation="90" vertical="center" wrapText="1"/>
    </xf>
    <xf borderId="3" fillId="0" fontId="8" numFmtId="0" xfId="0" applyAlignment="1" applyBorder="1" applyFont="1">
      <alignment horizontal="center" readingOrder="0" shrinkToFit="0" textRotation="90" vertical="center" wrapText="1"/>
    </xf>
    <xf borderId="3" fillId="0" fontId="8" numFmtId="0" xfId="0" applyAlignment="1" applyBorder="1" applyFont="1">
      <alignment horizontal="center" readingOrder="0" textRotation="90" vertical="center"/>
    </xf>
    <xf borderId="3" fillId="0" fontId="8" numFmtId="0" xfId="0" applyAlignment="1" applyBorder="1" applyFont="1">
      <alignment horizontal="center" readingOrder="0" shrinkToFit="0" textRotation="9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horizontal="center" readingOrder="0" shrinkToFit="0" vertical="bottom" wrapText="0"/>
    </xf>
    <xf borderId="8" fillId="0" fontId="29" numFmtId="168" xfId="0" applyAlignment="1" applyBorder="1" applyFont="1" applyNumberFormat="1">
      <alignment readingOrder="0" shrinkToFit="0" vertical="bottom" wrapText="0"/>
    </xf>
    <xf borderId="6" fillId="0" fontId="29" numFmtId="0" xfId="0" applyAlignment="1" applyBorder="1" applyFont="1">
      <alignment horizontal="center" readingOrder="0" vertical="bottom"/>
    </xf>
    <xf borderId="6" fillId="0" fontId="8" numFmtId="169" xfId="0" applyAlignment="1" applyBorder="1" applyFont="1" applyNumberFormat="1">
      <alignment horizontal="center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7" fillId="0" fontId="29" numFmtId="168" xfId="0" applyAlignment="1" applyBorder="1" applyFont="1" applyNumberFormat="1">
      <alignment readingOrder="0" shrinkToFit="0" vertical="bottom" wrapText="0"/>
    </xf>
    <xf borderId="7" fillId="3" fontId="29" numFmtId="168" xfId="0" applyAlignment="1" applyBorder="1" applyFont="1" applyNumberFormat="1">
      <alignment horizontal="center" readingOrder="0" shrinkToFit="0" vertical="bottom" wrapText="0"/>
    </xf>
    <xf borderId="6" fillId="3" fontId="1" numFmtId="0" xfId="0" applyAlignment="1" applyBorder="1" applyFont="1">
      <alignment horizontal="center" readingOrder="0" vertical="bottom"/>
    </xf>
    <xf borderId="6" fillId="3" fontId="29" numFmtId="0" xfId="0" applyAlignment="1" applyBorder="1" applyFont="1">
      <alignment horizontal="center" readingOrder="0" vertical="bottom"/>
    </xf>
    <xf borderId="7" fillId="0" fontId="29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32" numFmtId="0" xfId="0" applyAlignment="1" applyBorder="1" applyFont="1">
      <alignment horizontal="center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horizontal="center" vertical="bottom"/>
    </xf>
    <xf borderId="8" fillId="0" fontId="11" numFmtId="0" xfId="0" applyAlignment="1" applyBorder="1" applyFont="1">
      <alignment vertical="bottom"/>
    </xf>
    <xf borderId="1" fillId="0" fontId="12" numFmtId="0" xfId="0" applyAlignment="1" applyBorder="1" applyFont="1">
      <alignment horizontal="left" vertical="top"/>
    </xf>
    <xf borderId="1" fillId="0" fontId="14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shrinkToFit="0" vertical="top" wrapText="0"/>
    </xf>
    <xf borderId="8" fillId="4" fontId="11" numFmtId="0" xfId="0" applyAlignment="1" applyBorder="1" applyFill="1" applyFont="1">
      <alignment vertical="bottom"/>
    </xf>
    <xf borderId="8" fillId="3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vertical="top"/>
    </xf>
    <xf borderId="8" fillId="5" fontId="11" numFmtId="0" xfId="0" applyAlignment="1" applyBorder="1" applyFill="1" applyFont="1">
      <alignment vertical="bottom"/>
    </xf>
    <xf borderId="13" fillId="0" fontId="8" numFmtId="0" xfId="0" applyAlignment="1" applyBorder="1" applyFont="1">
      <alignment horizontal="left" readingOrder="0" shrinkToFit="0" vertical="top" wrapText="0"/>
    </xf>
    <xf borderId="14" fillId="0" fontId="9" numFmtId="0" xfId="0" applyBorder="1" applyFont="1"/>
    <xf borderId="8" fillId="6" fontId="11" numFmtId="0" xfId="0" applyAlignment="1" applyBorder="1" applyFill="1" applyFont="1">
      <alignment vertical="bottom"/>
    </xf>
    <xf borderId="11" fillId="0" fontId="9" numFmtId="0" xfId="0" applyBorder="1" applyFont="1"/>
    <xf borderId="8" fillId="7" fontId="11" numFmtId="0" xfId="0" applyAlignment="1" applyBorder="1" applyFill="1" applyFont="1">
      <alignment vertical="bottom"/>
    </xf>
    <xf borderId="0" fillId="0" fontId="22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14" fillId="0" fontId="6" numFmtId="0" xfId="0" applyAlignment="1" applyBorder="1" applyFont="1">
      <alignment horizontal="center" readingOrder="0" shrinkToFit="0" textRotation="0" vertical="center" wrapText="1"/>
    </xf>
    <xf borderId="8" fillId="0" fontId="33" numFmtId="0" xfId="0" applyAlignment="1" applyBorder="1" applyFont="1">
      <alignment horizontal="center" readingOrder="0"/>
    </xf>
    <xf borderId="2" fillId="0" fontId="29" numFmtId="0" xfId="0" applyAlignment="1" applyBorder="1" applyFont="1">
      <alignment horizontal="center" readingOrder="0" shrinkToFit="0" vertical="bottom" wrapText="0"/>
    </xf>
    <xf borderId="10" fillId="0" fontId="8" numFmtId="0" xfId="0" applyAlignment="1" applyBorder="1" applyFont="1">
      <alignment horizontal="center" readingOrder="0" textRotation="90" vertical="center"/>
    </xf>
    <xf borderId="11" fillId="0" fontId="22" numFmtId="0" xfId="0" applyAlignment="1" applyBorder="1" applyFont="1">
      <alignment horizontal="center" readingOrder="0" shrinkToFit="0" textRotation="0" vertical="bottom" wrapText="1"/>
    </xf>
    <xf borderId="2" fillId="0" fontId="8" numFmtId="0" xfId="0" applyAlignment="1" applyBorder="1" applyFont="1">
      <alignment horizontal="center" readingOrder="0"/>
    </xf>
    <xf borderId="14" fillId="0" fontId="22" numFmtId="0" xfId="0" applyAlignment="1" applyBorder="1" applyFont="1">
      <alignment horizontal="center" readingOrder="0" shrinkToFit="0" textRotation="90" vertical="bottom" wrapText="1"/>
    </xf>
    <xf borderId="6" fillId="0" fontId="8" numFmtId="0" xfId="0" applyAlignment="1" applyBorder="1" applyFont="1">
      <alignment horizontal="center" readingOrder="0" shrinkToFit="0" textRotation="90" vertical="center" wrapText="0"/>
    </xf>
    <xf borderId="0" fillId="0" fontId="8" numFmtId="0" xfId="0" applyAlignment="1" applyFont="1">
      <alignment horizontal="center" readingOrder="0" shrinkToFit="0" textRotation="90" vertical="center" wrapText="0"/>
    </xf>
    <xf borderId="4" fillId="0" fontId="8" numFmtId="0" xfId="0" applyAlignment="1" applyBorder="1" applyFont="1">
      <alignment horizontal="center" readingOrder="0" shrinkToFit="0" textRotation="90" vertical="center" wrapText="0"/>
    </xf>
    <xf borderId="6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center" readingOrder="0" shrinkToFit="0" wrapText="0"/>
    </xf>
    <xf borderId="6" fillId="0" fontId="8" numFmtId="9" xfId="0" applyAlignment="1" applyBorder="1" applyFont="1" applyNumberFormat="1">
      <alignment horizontal="center" readingOrder="0" shrinkToFit="0" wrapText="0"/>
    </xf>
    <xf borderId="8" fillId="0" fontId="34" numFmtId="0" xfId="0" applyAlignment="1" applyBorder="1" applyFont="1">
      <alignment readingOrder="0"/>
    </xf>
    <xf borderId="8" fillId="0" fontId="8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readingOrder="0" shrinkToFit="0" textRotation="90" vertical="center" wrapText="1"/>
    </xf>
    <xf borderId="10" fillId="0" fontId="1" numFmtId="0" xfId="0" applyAlignment="1" applyBorder="1" applyFont="1">
      <alignment horizontal="center" readingOrder="0" textRotation="45" vertical="center"/>
    </xf>
    <xf borderId="10" fillId="0" fontId="1" numFmtId="0" xfId="0" applyAlignment="1" applyBorder="1" applyFont="1">
      <alignment horizontal="center" readingOrder="0" textRotation="90" vertical="center"/>
    </xf>
    <xf borderId="1" fillId="3" fontId="35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bottom"/>
    </xf>
    <xf borderId="1" fillId="0" fontId="1" numFmtId="0" xfId="0" applyBorder="1" applyFont="1"/>
    <xf borderId="1" fillId="0" fontId="36" numFmtId="0" xfId="0" applyAlignment="1" applyBorder="1" applyFont="1">
      <alignment horizontal="left" vertical="bottom"/>
    </xf>
    <xf borderId="1" fillId="0" fontId="1" numFmtId="0" xfId="0" applyAlignment="1" applyBorder="1" applyFont="1">
      <alignment readingOrder="0"/>
    </xf>
    <xf borderId="1" fillId="0" fontId="36" numFmtId="0" xfId="0" applyAlignment="1" applyBorder="1" applyFont="1">
      <alignment horizontal="center" vertical="bottom"/>
    </xf>
    <xf borderId="15" fillId="0" fontId="26" numFmtId="0" xfId="0" applyAlignment="1" applyBorder="1" applyFont="1">
      <alignment horizontal="center" vertical="bottom"/>
    </xf>
    <xf borderId="15" fillId="0" fontId="9" numFmtId="0" xfId="0" applyBorder="1" applyFont="1"/>
    <xf borderId="0" fillId="0" fontId="37" numFmtId="0" xfId="0" applyAlignment="1" applyFont="1">
      <alignment horizontal="center" shrinkToFit="0" vertical="top" wrapText="1"/>
    </xf>
    <xf borderId="0" fillId="0" fontId="26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textRotation="0" vertical="center"/>
    </xf>
    <xf borderId="0" fillId="0" fontId="8" numFmtId="0" xfId="0" applyAlignment="1" applyFont="1">
      <alignment horizontal="left" readingOrder="0" shrinkToFit="0" textRotation="0" vertical="top" wrapText="1"/>
    </xf>
    <xf borderId="14" fillId="0" fontId="6" numFmtId="0" xfId="0" applyAlignment="1" applyBorder="1" applyFont="1">
      <alignment horizontal="center" readingOrder="0" textRotation="0" vertical="center"/>
    </xf>
    <xf borderId="14" fillId="0" fontId="8" numFmtId="0" xfId="0" applyAlignment="1" applyBorder="1" applyFont="1">
      <alignment horizontal="center" readingOrder="0" textRotation="90" vertical="center"/>
    </xf>
    <xf borderId="2" fillId="0" fontId="8" numFmtId="0" xfId="0" applyAlignment="1" applyBorder="1" applyFont="1">
      <alignment horizontal="center" readingOrder="0" shrinkToFit="0" wrapText="0"/>
    </xf>
    <xf borderId="10" fillId="0" fontId="8" numFmtId="0" xfId="0" applyAlignment="1" applyBorder="1" applyFont="1">
      <alignment horizontal="center" readingOrder="0" shrinkToFit="0" textRotation="90" wrapText="0"/>
    </xf>
    <xf borderId="9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wrapText="0"/>
    </xf>
    <xf borderId="6" fillId="0" fontId="8" numFmtId="0" xfId="0" applyAlignment="1" applyBorder="1" applyFont="1">
      <alignment horizontal="center" readingOrder="0" shrinkToFit="0" wrapText="0"/>
    </xf>
    <xf borderId="2" fillId="0" fontId="8" numFmtId="9" xfId="0" applyAlignment="1" applyBorder="1" applyFont="1" applyNumberFormat="1">
      <alignment horizontal="center" readingOrder="0" shrinkToFit="0" wrapText="0"/>
    </xf>
    <xf borderId="8" fillId="3" fontId="25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0" fillId="0" fontId="38" numFmtId="0" xfId="0" applyAlignment="1" applyFont="1">
      <alignment vertical="center"/>
    </xf>
    <xf borderId="0" fillId="0" fontId="38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vertical="center"/>
    </xf>
    <xf borderId="0" fillId="0" fontId="39" numFmtId="0" xfId="0" applyAlignment="1" applyFont="1">
      <alignment horizontal="center"/>
    </xf>
    <xf borderId="0" fillId="0" fontId="40" numFmtId="0" xfId="0" applyAlignment="1" applyFont="1">
      <alignment horizontal="center" readingOrder="0"/>
    </xf>
    <xf borderId="0" fillId="0" fontId="40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left" readingOrder="0" shrinkToFit="0" wrapText="0"/>
    </xf>
    <xf borderId="16" fillId="0" fontId="9" numFmtId="0" xfId="0" applyBorder="1" applyFont="1"/>
    <xf borderId="12" fillId="0" fontId="2" numFmtId="0" xfId="0" applyAlignment="1" applyBorder="1" applyFont="1">
      <alignment horizontal="left" readingOrder="0" shrinkToFit="0" wrapText="0"/>
    </xf>
    <xf borderId="13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0" fontId="2" numFmtId="0" xfId="0" applyAlignment="1" applyBorder="1" applyFont="1">
      <alignment horizontal="left" readingOrder="0" shrinkToFit="0" wrapText="0"/>
    </xf>
    <xf borderId="4" fillId="0" fontId="2" numFmtId="0" xfId="0" applyAlignment="1" applyBorder="1" applyFont="1">
      <alignment horizontal="center" readingOrder="0" vertical="bottom"/>
    </xf>
    <xf borderId="12" fillId="0" fontId="1" numFmtId="0" xfId="0" applyBorder="1" applyFont="1"/>
    <xf borderId="0" fillId="0" fontId="2" numFmtId="0" xfId="0" applyAlignment="1" applyFont="1">
      <alignment horizontal="right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3" fillId="0" fontId="41" numFmtId="0" xfId="0" applyAlignment="1" applyBorder="1" applyFont="1">
      <alignment horizontal="center" readingOrder="0" shrinkToFit="0" vertical="bottom" wrapText="0"/>
    </xf>
    <xf borderId="10" fillId="0" fontId="41" numFmtId="0" xfId="0" applyAlignment="1" applyBorder="1" applyFont="1">
      <alignment horizontal="center" readingOrder="0" shrinkToFit="0" vertical="bottom" wrapText="0"/>
    </xf>
    <xf borderId="10" fillId="0" fontId="1" numFmtId="0" xfId="0" applyBorder="1" applyFont="1"/>
    <xf borderId="12" fillId="0" fontId="41" numFmtId="0" xfId="0" applyAlignment="1" applyBorder="1" applyFont="1">
      <alignment horizontal="center" readingOrder="0" shrinkToFit="0" vertical="bottom" wrapText="0"/>
    </xf>
    <xf borderId="9" fillId="0" fontId="41" numFmtId="0" xfId="0" applyAlignment="1" applyBorder="1" applyFont="1">
      <alignment horizontal="center" readingOrder="0" shrinkToFit="0" vertical="bottom" wrapText="0"/>
    </xf>
    <xf borderId="9" fillId="0" fontId="42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/>
    </xf>
    <xf borderId="5" fillId="0" fontId="13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43" numFmtId="0" xfId="0" applyAlignment="1" applyFont="1">
      <alignment shrinkToFit="0" vertical="bottom" wrapText="0"/>
    </xf>
    <xf borderId="0" fillId="3" fontId="11" numFmtId="0" xfId="0" applyAlignment="1" applyFont="1">
      <alignment vertical="top"/>
    </xf>
    <xf borderId="0" fillId="3" fontId="44" numFmtId="0" xfId="0" applyAlignment="1" applyFont="1">
      <alignment shrinkToFit="0" vertical="bottom" wrapText="0"/>
    </xf>
    <xf borderId="0" fillId="3" fontId="11" numFmtId="0" xfId="0" applyAlignment="1" applyFont="1">
      <alignment vertical="bottom"/>
    </xf>
    <xf borderId="0" fillId="3" fontId="11" numFmtId="0" xfId="0" applyFont="1"/>
  </cellXfs>
  <cellStyles count="1">
    <cellStyle xfId="0" name="Normal" builtinId="0"/>
  </cellStyles>
  <dxfs count="5">
    <dxf>
      <font>
        <color theme="7"/>
      </font>
      <fill>
        <patternFill patternType="solid">
          <fgColor theme="0"/>
          <bgColor theme="0"/>
        </patternFill>
      </fill>
      <border/>
    </dxf>
    <dxf>
      <font>
        <color theme="6"/>
      </font>
      <fill>
        <patternFill patternType="solid">
          <fgColor rgb="FFFFFFFF"/>
          <bgColor rgb="FFFFFFFF"/>
        </patternFill>
      </fill>
      <border/>
    </dxf>
    <dxf>
      <font>
        <color theme="5"/>
      </font>
      <fill>
        <patternFill patternType="solid">
          <fgColor rgb="FFFFFFFF"/>
          <bgColor rgb="FFFFFFFF"/>
        </patternFill>
      </fill>
      <border/>
    </dxf>
    <dxf>
      <font>
        <color theme="4"/>
      </font>
      <fill>
        <patternFill patternType="solid">
          <fgColor rgb="FFFFFFFF"/>
          <bgColor rgb="FFFFFFFF"/>
        </patternFill>
      </fill>
      <border/>
    </dxf>
    <dxf>
      <font>
        <color rgb="FF00B05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0</xdr:row>
      <xdr:rowOff>19050</xdr:rowOff>
    </xdr:from>
    <xdr:ext cx="1266825" cy="9620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0</xdr:row>
      <xdr:rowOff>57150</xdr:rowOff>
    </xdr:from>
    <xdr:ext cx="1190625" cy="88582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238125" cy="2000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63"/>
    <col customWidth="1" min="3" max="3" width="3.63"/>
    <col customWidth="1" min="4" max="5" width="4.25"/>
    <col customWidth="1" min="6" max="6" width="4.13"/>
    <col customWidth="1" min="7" max="7" width="3.88"/>
    <col customWidth="1" min="8" max="9" width="4.0"/>
    <col customWidth="1" min="10" max="10" width="5.25"/>
    <col customWidth="1" min="11" max="11" width="4.88"/>
    <col customWidth="1" min="12" max="12" width="5.0"/>
    <col customWidth="1" min="13" max="13" width="5.25"/>
    <col customWidth="1" min="14" max="15" width="4.5"/>
    <col customWidth="1" min="16" max="16" width="4.88"/>
    <col customWidth="1" min="17" max="17" width="3.88"/>
    <col customWidth="1" min="18" max="18" width="4.13"/>
    <col customWidth="1" min="19" max="19" width="4.25"/>
    <col customWidth="1" min="20" max="20" width="4.5"/>
    <col customWidth="1" min="21" max="21" width="3.88"/>
    <col customWidth="1" min="22" max="23" width="5.0"/>
  </cols>
  <sheetData>
    <row r="1">
      <c r="A1" s="1"/>
    </row>
    <row r="3">
      <c r="A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</row>
    <row r="4">
      <c r="C4" s="2"/>
      <c r="D4" s="2"/>
      <c r="E4" s="2"/>
      <c r="F4" s="2"/>
      <c r="G4" s="2"/>
      <c r="H4" s="2"/>
      <c r="I4" s="2"/>
      <c r="J4" s="3"/>
      <c r="N4" s="2"/>
      <c r="O4" s="2"/>
      <c r="P4" s="2"/>
      <c r="Q4" s="2"/>
      <c r="R4" s="2"/>
      <c r="S4" s="2"/>
      <c r="T4" s="2"/>
      <c r="U4" s="2"/>
    </row>
    <row r="5">
      <c r="C5" s="2"/>
      <c r="D5" s="2"/>
      <c r="E5" s="2"/>
      <c r="F5" s="2"/>
      <c r="G5" s="2"/>
      <c r="H5" s="2"/>
      <c r="I5" s="2"/>
      <c r="N5" s="2"/>
      <c r="O5" s="2"/>
      <c r="P5" s="2"/>
      <c r="Q5" s="2"/>
      <c r="R5" s="2"/>
      <c r="S5" s="2"/>
      <c r="T5" s="2"/>
      <c r="U5" s="2"/>
    </row>
    <row r="6">
      <c r="C6" s="2"/>
      <c r="D6" s="2"/>
      <c r="E6" s="2"/>
      <c r="F6" s="2"/>
      <c r="G6" s="2"/>
      <c r="H6" s="2"/>
      <c r="I6" s="2"/>
      <c r="N6" s="2"/>
      <c r="O6" s="2"/>
      <c r="P6" s="2"/>
      <c r="Q6" s="2"/>
      <c r="R6" s="2"/>
      <c r="S6" s="2"/>
      <c r="T6" s="2"/>
      <c r="U6" s="2"/>
    </row>
    <row r="7">
      <c r="C7" s="2"/>
      <c r="D7" s="2"/>
      <c r="E7" s="2"/>
      <c r="F7" s="2"/>
      <c r="G7" s="2"/>
      <c r="H7" s="2"/>
      <c r="I7" s="2"/>
      <c r="N7" s="2"/>
      <c r="O7" s="2"/>
      <c r="P7" s="2"/>
      <c r="Q7" s="2"/>
      <c r="R7" s="2"/>
      <c r="S7" s="2"/>
      <c r="T7" s="2"/>
      <c r="U7" s="2"/>
    </row>
    <row r="8">
      <c r="C8" s="2"/>
      <c r="D8" s="2"/>
      <c r="E8" s="2"/>
      <c r="F8" s="2"/>
      <c r="G8" s="2"/>
      <c r="H8" s="2"/>
      <c r="I8" s="2"/>
      <c r="N8" s="2"/>
      <c r="O8" s="2"/>
      <c r="P8" s="2"/>
      <c r="Q8" s="2"/>
      <c r="R8" s="2"/>
      <c r="S8" s="2"/>
      <c r="T8" s="2"/>
      <c r="U8" s="2"/>
    </row>
    <row r="9">
      <c r="C9" s="2"/>
      <c r="D9" s="2"/>
      <c r="E9" s="2"/>
      <c r="F9" s="2"/>
      <c r="G9" s="2"/>
      <c r="H9" s="2"/>
      <c r="I9" s="2"/>
      <c r="N9" s="2"/>
      <c r="O9" s="2"/>
      <c r="P9" s="2"/>
      <c r="Q9" s="2"/>
      <c r="R9" s="2"/>
      <c r="S9" s="2"/>
      <c r="T9" s="2"/>
      <c r="U9" s="2"/>
    </row>
    <row r="10">
      <c r="C10" s="2"/>
      <c r="D10" s="2"/>
      <c r="E10" s="2"/>
      <c r="F10" s="2"/>
      <c r="G10" s="2"/>
      <c r="H10" s="2"/>
      <c r="I10" s="4" t="s">
        <v>0</v>
      </c>
      <c r="P10" s="2"/>
      <c r="Q10" s="2"/>
      <c r="R10" s="2"/>
      <c r="S10" s="2"/>
      <c r="T10" s="2"/>
      <c r="U10" s="2"/>
    </row>
    <row r="11">
      <c r="C11" s="5" t="s">
        <v>1</v>
      </c>
    </row>
    <row r="13">
      <c r="C13" s="5" t="s">
        <v>2</v>
      </c>
    </row>
    <row r="15" ht="20.25" customHeight="1">
      <c r="C15" s="6" t="s">
        <v>3</v>
      </c>
    </row>
    <row r="16" ht="20.25" customHeight="1"/>
    <row r="17">
      <c r="C17" s="2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C18" s="8" t="s">
        <v>4</v>
      </c>
    </row>
    <row r="2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C23" s="5" t="s">
        <v>5</v>
      </c>
    </row>
    <row r="25">
      <c r="C25" s="9"/>
    </row>
    <row r="27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C28" s="5" t="s">
        <v>6</v>
      </c>
    </row>
    <row r="30">
      <c r="C30" s="10"/>
      <c r="D30" s="11" t="s">
        <v>7</v>
      </c>
      <c r="F30" s="10" t="s">
        <v>8</v>
      </c>
      <c r="G30" s="10"/>
      <c r="H30" s="10"/>
      <c r="I30" s="10"/>
      <c r="J30" s="10"/>
      <c r="K30" s="10"/>
      <c r="L30" s="11" t="s">
        <v>9</v>
      </c>
      <c r="N30" s="10" t="s">
        <v>10</v>
      </c>
      <c r="O30" s="10"/>
      <c r="Q30" s="10"/>
      <c r="R30" s="10"/>
      <c r="S30" s="10"/>
      <c r="T30" s="10"/>
      <c r="U30" s="10"/>
    </row>
    <row r="31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C32" s="10"/>
      <c r="D32" s="11" t="s">
        <v>11</v>
      </c>
      <c r="F32" s="10" t="s">
        <v>12</v>
      </c>
      <c r="G32" s="10"/>
      <c r="H32" s="10"/>
      <c r="I32" s="10"/>
      <c r="J32" s="10"/>
      <c r="K32" s="10"/>
      <c r="L32" s="11" t="s">
        <v>13</v>
      </c>
      <c r="O32" s="10">
        <v>2026.0</v>
      </c>
      <c r="Q32" s="10"/>
      <c r="R32" s="10"/>
      <c r="S32" s="10"/>
      <c r="T32" s="10"/>
      <c r="U32" s="10"/>
    </row>
    <row r="33"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5">
      <c r="C35" s="12" t="s">
        <v>14</v>
      </c>
      <c r="G35" s="13" t="s">
        <v>15</v>
      </c>
    </row>
    <row r="37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C38" s="11" t="s">
        <v>16</v>
      </c>
      <c r="J38" s="10" t="s">
        <v>17</v>
      </c>
      <c r="S38" s="11"/>
      <c r="T38" s="11"/>
      <c r="U38" s="11"/>
    </row>
    <row r="39">
      <c r="S39" s="11"/>
      <c r="T39" s="11"/>
      <c r="U39" s="11"/>
    </row>
    <row r="42">
      <c r="C42" s="4" t="s">
        <v>18</v>
      </c>
    </row>
    <row r="43">
      <c r="C43" s="2"/>
      <c r="D43" s="2"/>
      <c r="E43" s="14" t="s">
        <v>19</v>
      </c>
      <c r="F43" s="15"/>
      <c r="G43" s="16"/>
      <c r="H43" s="17" t="s">
        <v>20</v>
      </c>
      <c r="I43" s="16"/>
      <c r="J43" s="17" t="s">
        <v>21</v>
      </c>
      <c r="K43" s="16"/>
      <c r="L43" s="17" t="s">
        <v>22</v>
      </c>
      <c r="M43" s="16"/>
      <c r="N43" s="17" t="s">
        <v>23</v>
      </c>
      <c r="O43" s="16"/>
      <c r="P43" s="17" t="s">
        <v>24</v>
      </c>
      <c r="Q43" s="16"/>
      <c r="R43" s="18"/>
      <c r="T43" s="2"/>
      <c r="U43" s="2"/>
    </row>
    <row r="44">
      <c r="C44" s="2"/>
      <c r="D44" s="2"/>
      <c r="E44" s="19"/>
      <c r="F44" s="20"/>
      <c r="G44" s="21"/>
      <c r="H44" s="22"/>
      <c r="I44" s="21"/>
      <c r="J44" s="22"/>
      <c r="K44" s="21"/>
      <c r="L44" s="22"/>
      <c r="M44" s="21"/>
      <c r="N44" s="22"/>
      <c r="O44" s="21"/>
      <c r="P44" s="22"/>
      <c r="Q44" s="21"/>
      <c r="T44" s="2"/>
      <c r="U44" s="2"/>
    </row>
    <row r="45">
      <c r="C45" s="2"/>
      <c r="D45" s="2"/>
      <c r="E45" s="19"/>
      <c r="F45" s="20"/>
      <c r="G45" s="21"/>
      <c r="H45" s="22"/>
      <c r="I45" s="21"/>
      <c r="J45" s="22"/>
      <c r="K45" s="21"/>
      <c r="L45" s="22"/>
      <c r="M45" s="21"/>
      <c r="N45" s="22"/>
      <c r="O45" s="21"/>
      <c r="P45" s="22"/>
      <c r="Q45" s="21"/>
      <c r="T45" s="2"/>
      <c r="U45" s="2"/>
    </row>
    <row r="46">
      <c r="C46" s="2"/>
      <c r="D46" s="2"/>
      <c r="E46" s="19"/>
      <c r="F46" s="20"/>
      <c r="G46" s="21"/>
      <c r="H46" s="22"/>
      <c r="I46" s="21"/>
      <c r="J46" s="22"/>
      <c r="K46" s="21"/>
      <c r="L46" s="22"/>
      <c r="M46" s="21"/>
      <c r="N46" s="22"/>
      <c r="O46" s="21"/>
      <c r="P46" s="22"/>
      <c r="Q46" s="21"/>
      <c r="T46" s="2"/>
      <c r="U46" s="2"/>
    </row>
    <row r="47">
      <c r="C47" s="2"/>
      <c r="D47" s="2"/>
      <c r="E47" s="19"/>
      <c r="F47" s="20"/>
      <c r="G47" s="21"/>
      <c r="H47" s="22"/>
      <c r="I47" s="21"/>
      <c r="J47" s="22"/>
      <c r="K47" s="21"/>
      <c r="L47" s="22"/>
      <c r="M47" s="21"/>
      <c r="N47" s="22"/>
      <c r="O47" s="21"/>
      <c r="P47" s="22"/>
      <c r="Q47" s="21"/>
      <c r="T47" s="2"/>
      <c r="U47" s="2"/>
    </row>
    <row r="48">
      <c r="C48" s="2"/>
      <c r="D48" s="2"/>
      <c r="E48" s="19"/>
      <c r="F48" s="20"/>
      <c r="G48" s="21"/>
      <c r="H48" s="22"/>
      <c r="I48" s="21"/>
      <c r="J48" s="22"/>
      <c r="K48" s="21"/>
      <c r="L48" s="22"/>
      <c r="M48" s="21"/>
      <c r="N48" s="22"/>
      <c r="O48" s="21"/>
      <c r="P48" s="22"/>
      <c r="Q48" s="21"/>
      <c r="T48" s="2"/>
      <c r="U48" s="2"/>
    </row>
    <row r="49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/>
    </row>
  </sheetData>
  <mergeCells count="67">
    <mergeCell ref="C23:U24"/>
    <mergeCell ref="C25:U26"/>
    <mergeCell ref="C28:U29"/>
    <mergeCell ref="D30:E30"/>
    <mergeCell ref="L30:M30"/>
    <mergeCell ref="D32:E32"/>
    <mergeCell ref="L32:N32"/>
    <mergeCell ref="O32:P32"/>
    <mergeCell ref="C34:U34"/>
    <mergeCell ref="C35:F36"/>
    <mergeCell ref="G35:U36"/>
    <mergeCell ref="C38:I39"/>
    <mergeCell ref="J38:R39"/>
    <mergeCell ref="C40:U41"/>
    <mergeCell ref="C42:U42"/>
    <mergeCell ref="C15:U16"/>
    <mergeCell ref="C18:U21"/>
    <mergeCell ref="R45:S45"/>
    <mergeCell ref="E46:G46"/>
    <mergeCell ref="H46:I46"/>
    <mergeCell ref="J46:K46"/>
    <mergeCell ref="L46:M46"/>
    <mergeCell ref="N46:O46"/>
    <mergeCell ref="P46:Q46"/>
    <mergeCell ref="R46:S46"/>
    <mergeCell ref="E47:G47"/>
    <mergeCell ref="H47:I47"/>
    <mergeCell ref="J47:K47"/>
    <mergeCell ref="L47:M47"/>
    <mergeCell ref="N47:O47"/>
    <mergeCell ref="P47:Q47"/>
    <mergeCell ref="R47:S47"/>
    <mergeCell ref="E48:G48"/>
    <mergeCell ref="H48:I48"/>
    <mergeCell ref="J48:K48"/>
    <mergeCell ref="L48:M48"/>
    <mergeCell ref="N48:O48"/>
    <mergeCell ref="P48:Q48"/>
    <mergeCell ref="R48:S48"/>
    <mergeCell ref="A1:W2"/>
    <mergeCell ref="A3:B50"/>
    <mergeCell ref="V3:W52"/>
    <mergeCell ref="J4:M9"/>
    <mergeCell ref="I10:O10"/>
    <mergeCell ref="C11:U12"/>
    <mergeCell ref="C13:U14"/>
    <mergeCell ref="A51:U52"/>
    <mergeCell ref="E43:G43"/>
    <mergeCell ref="H43:I43"/>
    <mergeCell ref="J43:K43"/>
    <mergeCell ref="L43:M43"/>
    <mergeCell ref="N43:O43"/>
    <mergeCell ref="P43:Q43"/>
    <mergeCell ref="R43:S43"/>
    <mergeCell ref="E44:G44"/>
    <mergeCell ref="H44:I44"/>
    <mergeCell ref="J44:K44"/>
    <mergeCell ref="L44:M44"/>
    <mergeCell ref="N44:O44"/>
    <mergeCell ref="P44:Q44"/>
    <mergeCell ref="R44:S44"/>
    <mergeCell ref="E45:G45"/>
    <mergeCell ref="H45:I45"/>
    <mergeCell ref="J45:K45"/>
    <mergeCell ref="L45:M45"/>
    <mergeCell ref="N45:O45"/>
    <mergeCell ref="P45:Q45"/>
  </mergeCells>
  <printOptions horizontalCentered="1"/>
  <pageMargins bottom="0.19685039370078738" footer="0.0" header="0.0" left="0.19685039370078738" right="0.19685039370078738" top="0.25003175006350015"/>
  <pageSetup paperSize="9" scale="9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7.0"/>
    <col customWidth="1" min="3" max="3" width="16.88"/>
    <col customWidth="1" min="4" max="4" width="11.25"/>
    <col customWidth="1" min="5" max="5" width="35.13"/>
    <col customWidth="1" min="6" max="6" width="12.0"/>
    <col customWidth="1" min="7" max="7" width="33.63"/>
    <col customWidth="1" min="8" max="8" width="14.38"/>
    <col customWidth="1" min="9" max="9" width="34.63"/>
    <col customWidth="1" min="10" max="10" width="14.38"/>
    <col customWidth="1" min="11" max="11" width="45.88"/>
  </cols>
  <sheetData>
    <row r="1">
      <c r="A1" s="23" t="str">
        <f>"Relação Nominal dos Alunos: "&amp;Capa!O32&amp;" "</f>
        <v>Relação Nominal dos Alunos: 2026 </v>
      </c>
      <c r="F1" s="24"/>
      <c r="G1" s="24"/>
      <c r="H1" s="24"/>
      <c r="I1" s="24"/>
      <c r="J1" s="24"/>
      <c r="K1" s="24"/>
    </row>
    <row r="2">
      <c r="A2" s="25" t="str">
        <f>"Ano: "&amp;Capa!F30&amp;"      Turma: "&amp;Capa!N30&amp;""</f>
        <v>Ano: 2°      Turma: D</v>
      </c>
      <c r="F2" s="24"/>
      <c r="G2" s="24"/>
      <c r="H2" s="24"/>
      <c r="I2" s="24"/>
      <c r="J2" s="24"/>
      <c r="K2" s="24"/>
    </row>
    <row r="3">
      <c r="A3" s="25" t="str">
        <f>"Turno: "&amp;Capa!F32&amp;"          Professor(a): "&amp;Capa!G35&amp;""</f>
        <v>Turno: Vespertino          Professor(a): ITAMAR VIEIRA NUNES</v>
      </c>
      <c r="F3" s="24"/>
      <c r="G3" s="24"/>
      <c r="H3" s="24"/>
      <c r="I3" s="24"/>
      <c r="J3" s="24"/>
      <c r="K3" s="24"/>
    </row>
    <row r="4">
      <c r="A4" s="26"/>
      <c r="B4" s="20"/>
      <c r="C4" s="27" t="s">
        <v>25</v>
      </c>
      <c r="D4" s="20"/>
      <c r="E4" s="20"/>
      <c r="F4" s="28" t="s">
        <v>26</v>
      </c>
      <c r="G4" s="20"/>
      <c r="H4" s="28" t="s">
        <v>27</v>
      </c>
      <c r="I4" s="20"/>
      <c r="J4" s="28" t="s">
        <v>28</v>
      </c>
      <c r="K4" s="20"/>
    </row>
    <row r="5">
      <c r="A5" s="29" t="s">
        <v>29</v>
      </c>
      <c r="B5" s="30" t="s">
        <v>30</v>
      </c>
      <c r="C5" s="31" t="s">
        <v>31</v>
      </c>
      <c r="D5" s="32" t="s">
        <v>32</v>
      </c>
      <c r="E5" s="33" t="s">
        <v>33</v>
      </c>
      <c r="F5" s="32" t="s">
        <v>32</v>
      </c>
      <c r="G5" s="33" t="s">
        <v>33</v>
      </c>
      <c r="H5" s="32" t="s">
        <v>32</v>
      </c>
      <c r="I5" s="33" t="s">
        <v>33</v>
      </c>
      <c r="J5" s="32" t="s">
        <v>32</v>
      </c>
      <c r="K5" s="33" t="s">
        <v>33</v>
      </c>
    </row>
    <row r="6">
      <c r="A6" s="34">
        <v>1.0</v>
      </c>
      <c r="B6" s="35" t="s">
        <v>34</v>
      </c>
      <c r="C6" s="36"/>
      <c r="D6" s="36"/>
      <c r="E6" s="36"/>
      <c r="F6" s="36"/>
      <c r="G6" s="36"/>
      <c r="H6" s="36"/>
      <c r="I6" s="36"/>
      <c r="J6" s="36"/>
      <c r="K6" s="36"/>
    </row>
    <row r="7">
      <c r="A7" s="34">
        <v>2.0</v>
      </c>
      <c r="B7" s="37" t="s">
        <v>35</v>
      </c>
      <c r="C7" s="36"/>
      <c r="D7" s="36"/>
      <c r="E7" s="36"/>
      <c r="F7" s="36"/>
      <c r="G7" s="36"/>
      <c r="H7" s="36"/>
      <c r="I7" s="36"/>
      <c r="J7" s="36"/>
      <c r="K7" s="36"/>
    </row>
    <row r="8">
      <c r="A8" s="34">
        <v>3.0</v>
      </c>
      <c r="B8" s="38" t="s">
        <v>36</v>
      </c>
      <c r="C8" s="36"/>
      <c r="D8" s="36"/>
      <c r="E8" s="36"/>
      <c r="F8" s="36"/>
      <c r="G8" s="36"/>
      <c r="H8" s="36"/>
      <c r="I8" s="36"/>
      <c r="J8" s="36"/>
      <c r="K8" s="36"/>
    </row>
    <row r="9">
      <c r="A9" s="34">
        <v>4.0</v>
      </c>
      <c r="B9" s="37" t="s">
        <v>37</v>
      </c>
      <c r="C9" s="36"/>
      <c r="D9" s="36"/>
      <c r="E9" s="36"/>
      <c r="F9" s="36"/>
      <c r="G9" s="36"/>
      <c r="H9" s="36"/>
      <c r="I9" s="36"/>
      <c r="J9" s="36"/>
      <c r="K9" s="36"/>
    </row>
    <row r="10">
      <c r="A10" s="34">
        <v>5.0</v>
      </c>
      <c r="B10" s="37" t="s">
        <v>38</v>
      </c>
      <c r="C10" s="36"/>
      <c r="D10" s="36"/>
      <c r="E10" s="36"/>
      <c r="F10" s="36"/>
      <c r="G10" s="36"/>
      <c r="H10" s="36"/>
      <c r="I10" s="36"/>
      <c r="J10" s="36"/>
      <c r="K10" s="36"/>
    </row>
    <row r="11">
      <c r="A11" s="34">
        <v>6.0</v>
      </c>
      <c r="B11" s="35" t="s">
        <v>39</v>
      </c>
      <c r="C11" s="36"/>
      <c r="D11" s="36"/>
      <c r="E11" s="36"/>
      <c r="F11" s="36"/>
      <c r="G11" s="36"/>
      <c r="H11" s="36"/>
      <c r="I11" s="36"/>
      <c r="J11" s="36"/>
      <c r="K11" s="36"/>
    </row>
    <row r="12">
      <c r="A12" s="34">
        <v>7.0</v>
      </c>
      <c r="B12" s="37" t="s">
        <v>40</v>
      </c>
      <c r="C12" s="36"/>
      <c r="D12" s="36"/>
      <c r="E12" s="36"/>
      <c r="F12" s="36"/>
      <c r="G12" s="36"/>
      <c r="H12" s="36"/>
      <c r="I12" s="36"/>
      <c r="J12" s="36"/>
      <c r="K12" s="36"/>
    </row>
    <row r="13">
      <c r="A13" s="34">
        <v>8.0</v>
      </c>
      <c r="B13" s="35" t="s">
        <v>41</v>
      </c>
      <c r="C13" s="36"/>
      <c r="D13" s="36"/>
      <c r="E13" s="36"/>
      <c r="F13" s="36"/>
      <c r="G13" s="36"/>
      <c r="H13" s="36"/>
      <c r="I13" s="36"/>
      <c r="J13" s="36"/>
      <c r="K13" s="36"/>
    </row>
    <row r="14">
      <c r="A14" s="34">
        <v>9.0</v>
      </c>
      <c r="B14" s="35" t="s">
        <v>42</v>
      </c>
      <c r="C14" s="36"/>
      <c r="D14" s="36"/>
      <c r="E14" s="36"/>
      <c r="F14" s="36"/>
      <c r="G14" s="36"/>
      <c r="H14" s="36"/>
      <c r="I14" s="36"/>
      <c r="J14" s="36"/>
      <c r="K14" s="36"/>
    </row>
    <row r="15">
      <c r="A15" s="34">
        <v>10.0</v>
      </c>
      <c r="B15" s="39" t="s">
        <v>43</v>
      </c>
      <c r="C15" s="36"/>
      <c r="D15" s="36"/>
      <c r="E15" s="36"/>
      <c r="F15" s="36"/>
      <c r="G15" s="36"/>
      <c r="H15" s="36"/>
      <c r="I15" s="36"/>
      <c r="J15" s="36"/>
      <c r="K15" s="36"/>
    </row>
    <row r="16">
      <c r="A16" s="34">
        <v>11.0</v>
      </c>
      <c r="B16" s="35" t="s">
        <v>44</v>
      </c>
      <c r="C16" s="36"/>
      <c r="D16" s="36"/>
      <c r="E16" s="36"/>
      <c r="F16" s="36"/>
      <c r="G16" s="36"/>
      <c r="H16" s="36"/>
      <c r="I16" s="36"/>
      <c r="J16" s="36"/>
      <c r="K16" s="36"/>
    </row>
    <row r="17">
      <c r="A17" s="34">
        <v>12.0</v>
      </c>
      <c r="B17" s="40" t="s">
        <v>45</v>
      </c>
      <c r="C17" s="36"/>
      <c r="D17" s="36"/>
      <c r="E17" s="36"/>
      <c r="F17" s="36"/>
      <c r="G17" s="36"/>
      <c r="H17" s="36"/>
      <c r="I17" s="36"/>
      <c r="J17" s="36"/>
      <c r="K17" s="36"/>
    </row>
    <row r="18">
      <c r="A18" s="34">
        <v>13.0</v>
      </c>
      <c r="B18" s="35" t="s">
        <v>46</v>
      </c>
      <c r="C18" s="36"/>
      <c r="D18" s="36"/>
      <c r="E18" s="36"/>
      <c r="F18" s="36"/>
      <c r="G18" s="36"/>
      <c r="H18" s="36"/>
      <c r="I18" s="36"/>
      <c r="J18" s="36"/>
      <c r="K18" s="36"/>
    </row>
    <row r="19">
      <c r="A19" s="34">
        <v>14.0</v>
      </c>
      <c r="B19" s="37" t="s">
        <v>47</v>
      </c>
      <c r="C19" s="36"/>
      <c r="D19" s="36"/>
      <c r="E19" s="36"/>
      <c r="F19" s="36"/>
      <c r="G19" s="36"/>
      <c r="H19" s="36"/>
      <c r="I19" s="36"/>
      <c r="J19" s="36"/>
      <c r="K19" s="36"/>
    </row>
    <row r="20">
      <c r="A20" s="34">
        <v>15.0</v>
      </c>
      <c r="B20" s="41" t="s">
        <v>48</v>
      </c>
      <c r="C20" s="36"/>
      <c r="D20" s="36"/>
      <c r="E20" s="36"/>
      <c r="F20" s="36"/>
      <c r="G20" s="36"/>
      <c r="H20" s="36"/>
      <c r="I20" s="36"/>
      <c r="J20" s="36"/>
      <c r="K20" s="36"/>
    </row>
    <row r="21">
      <c r="A21" s="34">
        <v>16.0</v>
      </c>
      <c r="B21" s="41" t="s">
        <v>49</v>
      </c>
      <c r="C21" s="36"/>
      <c r="D21" s="36"/>
      <c r="E21" s="36"/>
      <c r="F21" s="36"/>
      <c r="G21" s="36"/>
      <c r="H21" s="36"/>
      <c r="I21" s="36"/>
      <c r="J21" s="36"/>
      <c r="K21" s="36"/>
    </row>
    <row r="22">
      <c r="A22" s="34">
        <v>17.0</v>
      </c>
      <c r="B22" s="41" t="s">
        <v>50</v>
      </c>
      <c r="C22" s="36"/>
      <c r="D22" s="36"/>
      <c r="E22" s="36"/>
      <c r="F22" s="36"/>
      <c r="G22" s="36"/>
      <c r="H22" s="36"/>
      <c r="I22" s="36"/>
      <c r="J22" s="36"/>
      <c r="K22" s="36"/>
    </row>
    <row r="23">
      <c r="A23" s="34">
        <v>18.0</v>
      </c>
      <c r="B23" s="41" t="s">
        <v>51</v>
      </c>
      <c r="C23" s="36"/>
      <c r="D23" s="36"/>
      <c r="E23" s="36"/>
      <c r="F23" s="36"/>
      <c r="G23" s="36"/>
      <c r="H23" s="36"/>
      <c r="I23" s="36"/>
      <c r="J23" s="36"/>
      <c r="K23" s="36"/>
    </row>
    <row r="24">
      <c r="A24" s="34">
        <v>19.0</v>
      </c>
      <c r="B24" s="35" t="s">
        <v>52</v>
      </c>
      <c r="C24" s="36"/>
      <c r="D24" s="36"/>
      <c r="E24" s="36"/>
      <c r="F24" s="36"/>
      <c r="G24" s="36"/>
      <c r="H24" s="36"/>
      <c r="I24" s="36"/>
      <c r="J24" s="36"/>
      <c r="K24" s="36"/>
    </row>
    <row r="25">
      <c r="A25" s="34">
        <v>20.0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>
      <c r="A26" s="34">
        <v>21.0</v>
      </c>
      <c r="B26" s="42"/>
      <c r="C26" s="36"/>
      <c r="D26" s="36"/>
      <c r="E26" s="36"/>
      <c r="F26" s="36"/>
      <c r="G26" s="36"/>
      <c r="H26" s="36"/>
      <c r="I26" s="36"/>
      <c r="J26" s="36"/>
      <c r="K26" s="36"/>
    </row>
    <row r="27">
      <c r="A27" s="34">
        <v>22.0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>
      <c r="A28" s="34">
        <v>23.0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>
      <c r="A29" s="34">
        <v>24.0</v>
      </c>
      <c r="B29" s="42"/>
      <c r="C29" s="36"/>
      <c r="D29" s="36"/>
      <c r="E29" s="36"/>
      <c r="F29" s="36"/>
      <c r="G29" s="36"/>
      <c r="H29" s="36"/>
      <c r="I29" s="36"/>
      <c r="J29" s="36"/>
      <c r="K29" s="36"/>
    </row>
    <row r="30">
      <c r="A30" s="34">
        <v>25.0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>
      <c r="A31" s="34">
        <v>26.0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>
      <c r="A32" s="34">
        <v>27.0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</row>
    <row r="33">
      <c r="A33" s="34">
        <v>28.0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</row>
    <row r="34">
      <c r="A34" s="34">
        <v>29.0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</row>
    <row r="35">
      <c r="A35" s="34">
        <v>30.0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</row>
    <row r="36">
      <c r="A36" s="34">
        <v>31.0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>
      <c r="A37" s="34">
        <v>32.0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>
      <c r="A38" s="34">
        <v>33.0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>
      <c r="A39" s="34">
        <v>34.0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>
      <c r="A40" s="34">
        <v>35.0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>
      <c r="A41" s="34">
        <v>36.0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>
      <c r="A42" s="34">
        <v>37.0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>
      <c r="A43" s="34">
        <v>38.0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</row>
    <row r="44">
      <c r="A44" s="34">
        <v>39.0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>
      <c r="A45" s="34">
        <v>40.0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>
      <c r="A46" s="34">
        <v>41.0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>
      <c r="A47" s="34">
        <v>42.0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>
      <c r="A48" s="34">
        <v>43.0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>
      <c r="A49" s="34">
        <v>44.0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>
      <c r="A50" s="34">
        <v>45.0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>
      <c r="A51" s="34">
        <v>46.0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>
      <c r="A52" s="34">
        <v>47.0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>
      <c r="A53" s="34">
        <v>48.0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>
      <c r="A54" s="34">
        <v>49.0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>
      <c r="A55" s="34">
        <v>50.0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</sheetData>
  <mergeCells count="8">
    <mergeCell ref="A1:E1"/>
    <mergeCell ref="A2:E2"/>
    <mergeCell ref="A3:E3"/>
    <mergeCell ref="A4:B4"/>
    <mergeCell ref="C4:E4"/>
    <mergeCell ref="F4:G4"/>
    <mergeCell ref="H4:I4"/>
    <mergeCell ref="J4:K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8.88"/>
    <col customWidth="1" min="3" max="3" width="14.75"/>
  </cols>
  <sheetData>
    <row r="1">
      <c r="A1" s="43" t="str">
        <f>"Ano: "&amp;Capa!F30&amp;"      Turma: "&amp;Capa!N30&amp;""</f>
        <v>Ano: 2°      Turma: D</v>
      </c>
      <c r="B1" s="16"/>
      <c r="C1" s="44" t="s">
        <v>53</v>
      </c>
    </row>
    <row r="2">
      <c r="A2" s="43" t="str">
        <f>"Turno: "&amp;Capa!F32&amp;"            Ano Letivo: "&amp;Capa!O32</f>
        <v>Turno: Vespertino            Ano Letivo: 2026</v>
      </c>
      <c r="B2" s="16"/>
      <c r="C2" s="45"/>
    </row>
    <row r="3">
      <c r="A3" s="43" t="str">
        <f>Capa!C28&amp;""</f>
        <v>Curso/Modalidade: REGULAR</v>
      </c>
      <c r="B3" s="16"/>
      <c r="C3" s="45"/>
    </row>
    <row r="4">
      <c r="A4" s="43" t="str">
        <f>"Componente Curricular: "&amp;Capa!J38&amp;""</f>
        <v>Componente Curricular: Educaçao Física</v>
      </c>
      <c r="B4" s="16"/>
      <c r="C4" s="45"/>
    </row>
    <row r="5">
      <c r="A5" s="43" t="str">
        <f>"Professor(a): "&amp;Capa!G35</f>
        <v>Professor(a): ITAMAR VIEIRA NUNES</v>
      </c>
      <c r="B5" s="16"/>
      <c r="C5" s="45"/>
    </row>
    <row r="6">
      <c r="A6" s="46" t="s">
        <v>54</v>
      </c>
      <c r="B6" s="47" t="s">
        <v>55</v>
      </c>
      <c r="C6" s="48"/>
    </row>
    <row r="7">
      <c r="A7" s="46">
        <v>1.0</v>
      </c>
      <c r="B7" s="49" t="str">
        <f>'Secret. Escolar'!$B$6</f>
        <v>Adriana Sofia Gonzalez Torres</v>
      </c>
      <c r="C7" s="50" t="str">
        <f>'Secret. Escolar'!$C$6</f>
        <v/>
      </c>
    </row>
    <row r="8">
      <c r="A8" s="46">
        <v>2.0</v>
      </c>
      <c r="B8" s="49" t="str">
        <f>'Secret. Escolar'!$B$7</f>
        <v>Alyson Lucas de Sousa Alencar</v>
      </c>
      <c r="C8" s="49" t="str">
        <f>'Secret. Escolar'!$C$7</f>
        <v/>
      </c>
    </row>
    <row r="9">
      <c r="A9" s="46">
        <v>3.0</v>
      </c>
      <c r="B9" s="49" t="str">
        <f>'Secret. Escolar'!$B$8</f>
        <v>Ana Clara Silva Zanolim</v>
      </c>
      <c r="C9" s="49" t="str">
        <f>'Secret. Escolar'!$C$8</f>
        <v/>
      </c>
    </row>
    <row r="10">
      <c r="A10" s="46">
        <v>4.0</v>
      </c>
      <c r="B10" s="49" t="str">
        <f>'Secret. Escolar'!$B$9</f>
        <v>Antônio Alves Pereira de Souza</v>
      </c>
      <c r="C10" s="49" t="str">
        <f>'Secret. Escolar'!$C$9</f>
        <v/>
      </c>
    </row>
    <row r="11">
      <c r="A11" s="46">
        <v>5.0</v>
      </c>
      <c r="B11" s="49" t="str">
        <f>'Secret. Escolar'!$B$10</f>
        <v>Cecília Resende dos Santos</v>
      </c>
      <c r="C11" s="49" t="str">
        <f>'Secret. Escolar'!$C$10</f>
        <v/>
      </c>
    </row>
    <row r="12">
      <c r="A12" s="46">
        <v>6.0</v>
      </c>
      <c r="B12" s="49" t="str">
        <f>'Secret. Escolar'!$B$11</f>
        <v>Emanuelly Vale da Silva</v>
      </c>
      <c r="C12" s="49" t="str">
        <f>'Secret. Escolar'!$C$11</f>
        <v/>
      </c>
    </row>
    <row r="13">
      <c r="A13" s="46">
        <v>7.0</v>
      </c>
      <c r="B13" s="49" t="str">
        <f>'Secret. Escolar'!$B$12</f>
        <v>Glloria Vitorya Moreira do Vale</v>
      </c>
      <c r="C13" s="49" t="str">
        <f>'Secret. Escolar'!$C$12</f>
        <v/>
      </c>
    </row>
    <row r="14">
      <c r="A14" s="46">
        <v>8.0</v>
      </c>
      <c r="B14" s="49" t="str">
        <f>'Secret. Escolar'!$B$13</f>
        <v>Izabelly Vitória Pereira Muniz</v>
      </c>
      <c r="C14" s="49" t="str">
        <f>'Secret. Escolar'!$C$13</f>
        <v/>
      </c>
    </row>
    <row r="15">
      <c r="A15" s="46">
        <v>9.0</v>
      </c>
      <c r="B15" s="49" t="str">
        <f>'Secret. Escolar'!$B$14</f>
        <v>Kaleu Carneiro Mesquita Tavares</v>
      </c>
      <c r="C15" s="49" t="str">
        <f>'Secret. Escolar'!$C$14</f>
        <v/>
      </c>
    </row>
    <row r="16">
      <c r="A16" s="46">
        <v>10.0</v>
      </c>
      <c r="B16" s="51" t="str">
        <f>'Secret. Escolar'!$B$15</f>
        <v>Lelimar Sofia Reyes Febres</v>
      </c>
      <c r="C16" s="49" t="str">
        <f>'Secret. Escolar'!$C$15</f>
        <v/>
      </c>
    </row>
    <row r="17">
      <c r="A17" s="46">
        <v>11.0</v>
      </c>
      <c r="B17" s="49" t="str">
        <f>'Secret. Escolar'!$B$16</f>
        <v>Luiz Gustavo Rodrigues Carneiro</v>
      </c>
      <c r="C17" s="49" t="str">
        <f>'Secret. Escolar'!$C$16</f>
        <v/>
      </c>
    </row>
    <row r="18">
      <c r="A18" s="46">
        <v>12.0</v>
      </c>
      <c r="B18" s="49" t="str">
        <f>'Secret. Escolar'!$B$17</f>
        <v>Luiz Otávio Santos de Sousa</v>
      </c>
      <c r="C18" s="49" t="str">
        <f>'Secret. Escolar'!$C$17</f>
        <v/>
      </c>
    </row>
    <row r="19">
      <c r="A19" s="46">
        <v>13.0</v>
      </c>
      <c r="B19" s="49" t="str">
        <f>'Secret. Escolar'!$B$18</f>
        <v>Maria Valentina de Souza</v>
      </c>
      <c r="C19" s="49" t="str">
        <f>'Secret. Escolar'!$C$18</f>
        <v/>
      </c>
    </row>
    <row r="20">
      <c r="A20" s="46">
        <v>14.0</v>
      </c>
      <c r="B20" s="49" t="str">
        <f>'Secret. Escolar'!$B$19</f>
        <v>Maysa Barros Caitano dos Santos</v>
      </c>
      <c r="C20" s="49" t="str">
        <f>'Secret. Escolar'!$C$19</f>
        <v/>
      </c>
    </row>
    <row r="21">
      <c r="A21" s="46">
        <v>15.0</v>
      </c>
      <c r="B21" s="49" t="str">
        <f>'Secret. Escolar'!$B$20</f>
        <v>Melissa Oliveira Magalhães</v>
      </c>
      <c r="C21" s="49" t="str">
        <f>'Secret. Escolar'!$C$20</f>
        <v/>
      </c>
    </row>
    <row r="22">
      <c r="A22" s="46">
        <v>16.0</v>
      </c>
      <c r="B22" s="49" t="str">
        <f>'Secret. Escolar'!$B$21</f>
        <v>Neilson de Oliveira Carneiro</v>
      </c>
      <c r="C22" s="49" t="str">
        <f>'Secret. Escolar'!$C$21</f>
        <v/>
      </c>
    </row>
    <row r="23">
      <c r="A23" s="46">
        <v>17.0</v>
      </c>
      <c r="B23" s="49" t="str">
        <f>'Secret. Escolar'!$B$22</f>
        <v>Sarah Gabrielle Coelho Lopes</v>
      </c>
      <c r="C23" s="49" t="str">
        <f>'Secret. Escolar'!$C$22</f>
        <v/>
      </c>
    </row>
    <row r="24">
      <c r="A24" s="46">
        <v>18.0</v>
      </c>
      <c r="B24" s="49" t="str">
        <f>'Secret. Escolar'!$B$23</f>
        <v>Sophia Pereira de Oliveira</v>
      </c>
      <c r="C24" s="49" t="str">
        <f>'Secret. Escolar'!$C$23</f>
        <v/>
      </c>
    </row>
    <row r="25">
      <c r="A25" s="46">
        <v>19.0</v>
      </c>
      <c r="B25" s="49" t="str">
        <f>'Secret. Escolar'!$B$24</f>
        <v>Wuilmer Adrian Ramos Salazar</v>
      </c>
      <c r="C25" s="49" t="str">
        <f>'Secret. Escolar'!$C$24</f>
        <v/>
      </c>
    </row>
    <row r="26">
      <c r="A26" s="46">
        <v>20.0</v>
      </c>
      <c r="B26" s="49" t="str">
        <f>'Secret. Escolar'!$B$25</f>
        <v/>
      </c>
      <c r="C26" s="49" t="str">
        <f>'Secret. Escolar'!$C$25</f>
        <v/>
      </c>
    </row>
    <row r="27">
      <c r="A27" s="46">
        <v>21.0</v>
      </c>
      <c r="B27" s="49" t="str">
        <f>'Secret. Escolar'!$B$26</f>
        <v/>
      </c>
      <c r="C27" s="49" t="str">
        <f>'Secret. Escolar'!$C$26</f>
        <v/>
      </c>
    </row>
    <row r="28">
      <c r="A28" s="46">
        <v>22.0</v>
      </c>
      <c r="B28" s="49" t="str">
        <f>'Secret. Escolar'!$B$27</f>
        <v/>
      </c>
      <c r="C28" s="49" t="str">
        <f>'Secret. Escolar'!$C$27</f>
        <v/>
      </c>
    </row>
    <row r="29">
      <c r="A29" s="46">
        <v>23.0</v>
      </c>
      <c r="B29" s="49" t="str">
        <f>'Secret. Escolar'!$B$28</f>
        <v/>
      </c>
      <c r="C29" s="49" t="str">
        <f>'Secret. Escolar'!$C$28</f>
        <v/>
      </c>
    </row>
    <row r="30">
      <c r="A30" s="46">
        <v>24.0</v>
      </c>
      <c r="B30" s="49" t="str">
        <f>'Secret. Escolar'!$B$29</f>
        <v/>
      </c>
      <c r="C30" s="49" t="str">
        <f>'Secret. Escolar'!$C$29</f>
        <v/>
      </c>
    </row>
    <row r="31">
      <c r="A31" s="46">
        <v>25.0</v>
      </c>
      <c r="B31" s="49" t="str">
        <f>'Secret. Escolar'!$B$30</f>
        <v/>
      </c>
      <c r="C31" s="49" t="str">
        <f>'Secret. Escolar'!$C$30</f>
        <v/>
      </c>
    </row>
    <row r="32">
      <c r="A32" s="46">
        <v>26.0</v>
      </c>
      <c r="B32" s="49" t="str">
        <f>'Secret. Escolar'!$B$31</f>
        <v/>
      </c>
      <c r="C32" s="49" t="str">
        <f>'Secret. Escolar'!$C$31</f>
        <v/>
      </c>
    </row>
    <row r="33">
      <c r="A33" s="46">
        <v>27.0</v>
      </c>
      <c r="B33" s="49" t="str">
        <f>'Secret. Escolar'!$B$32</f>
        <v/>
      </c>
      <c r="C33" s="49" t="str">
        <f>'Secret. Escolar'!$C$32</f>
        <v/>
      </c>
    </row>
    <row r="34">
      <c r="A34" s="46">
        <v>28.0</v>
      </c>
      <c r="B34" s="49" t="str">
        <f>'Secret. Escolar'!$B$33</f>
        <v/>
      </c>
      <c r="C34" s="49" t="str">
        <f>'Secret. Escolar'!$C$33</f>
        <v/>
      </c>
    </row>
    <row r="35">
      <c r="A35" s="46">
        <v>29.0</v>
      </c>
      <c r="B35" s="49" t="str">
        <f>'Secret. Escolar'!$B$34</f>
        <v/>
      </c>
      <c r="C35" s="49" t="str">
        <f>'Secret. Escolar'!$C$34</f>
        <v/>
      </c>
    </row>
    <row r="36">
      <c r="A36" s="46">
        <v>30.0</v>
      </c>
      <c r="B36" s="49" t="str">
        <f>'Secret. Escolar'!$B$35</f>
        <v/>
      </c>
      <c r="C36" s="49" t="str">
        <f>'Secret. Escolar'!$C$35</f>
        <v/>
      </c>
    </row>
    <row r="37">
      <c r="A37" s="46">
        <v>31.0</v>
      </c>
      <c r="B37" s="49" t="str">
        <f>'Secret. Escolar'!$B$36</f>
        <v/>
      </c>
      <c r="C37" s="49" t="str">
        <f>'Secret. Escolar'!$C$36</f>
        <v/>
      </c>
    </row>
    <row r="38">
      <c r="A38" s="46">
        <v>32.0</v>
      </c>
      <c r="B38" s="49" t="str">
        <f>'Secret. Escolar'!$B$37</f>
        <v/>
      </c>
      <c r="C38" s="49" t="str">
        <f>'Secret. Escolar'!$C$37</f>
        <v/>
      </c>
    </row>
    <row r="39">
      <c r="A39" s="46">
        <v>33.0</v>
      </c>
      <c r="B39" s="49" t="str">
        <f>'Secret. Escolar'!$B$38</f>
        <v/>
      </c>
      <c r="C39" s="49" t="str">
        <f>'Secret. Escolar'!$C$38</f>
        <v/>
      </c>
    </row>
    <row r="40">
      <c r="A40" s="46">
        <v>34.0</v>
      </c>
      <c r="B40" s="49" t="str">
        <f>'Secret. Escolar'!$B$39</f>
        <v/>
      </c>
      <c r="C40" s="49" t="str">
        <f>'Secret. Escolar'!$C$39</f>
        <v/>
      </c>
    </row>
    <row r="41">
      <c r="A41" s="46">
        <v>35.0</v>
      </c>
      <c r="B41" s="49" t="str">
        <f>'Secret. Escolar'!$B$40</f>
        <v/>
      </c>
      <c r="C41" s="49" t="str">
        <f>'Secret. Escolar'!$C$40</f>
        <v/>
      </c>
    </row>
    <row r="42">
      <c r="A42" s="46">
        <v>36.0</v>
      </c>
      <c r="B42" s="49" t="str">
        <f>'Secret. Escolar'!$B$41</f>
        <v/>
      </c>
      <c r="C42" s="49" t="str">
        <f>'Secret. Escolar'!$C$41</f>
        <v/>
      </c>
    </row>
    <row r="43">
      <c r="A43" s="46">
        <v>37.0</v>
      </c>
      <c r="B43" s="49" t="str">
        <f>'Secret. Escolar'!$B$42</f>
        <v/>
      </c>
      <c r="C43" s="49" t="str">
        <f>'Secret. Escolar'!$C$42</f>
        <v/>
      </c>
    </row>
    <row r="44">
      <c r="A44" s="46">
        <v>38.0</v>
      </c>
      <c r="B44" s="49" t="str">
        <f>'Secret. Escolar'!$B$43</f>
        <v/>
      </c>
      <c r="C44" s="49" t="str">
        <f>'Secret. Escolar'!$C$43</f>
        <v/>
      </c>
    </row>
    <row r="45">
      <c r="A45" s="46">
        <v>39.0</v>
      </c>
      <c r="B45" s="49" t="str">
        <f>'Secret. Escolar'!$B$44</f>
        <v/>
      </c>
      <c r="C45" s="49" t="str">
        <f>'Secret. Escolar'!$C$44</f>
        <v/>
      </c>
    </row>
    <row r="46">
      <c r="A46" s="46">
        <v>40.0</v>
      </c>
      <c r="B46" s="49" t="str">
        <f>'Secret. Escolar'!$B$45</f>
        <v/>
      </c>
      <c r="C46" s="49" t="str">
        <f>'Secret. Escolar'!$C$45</f>
        <v/>
      </c>
    </row>
    <row r="47">
      <c r="A47" s="46">
        <v>41.0</v>
      </c>
      <c r="B47" s="49" t="str">
        <f>'Secret. Escolar'!$B$46</f>
        <v/>
      </c>
      <c r="C47" s="49" t="str">
        <f>'Secret. Escolar'!$C$46</f>
        <v/>
      </c>
    </row>
    <row r="48">
      <c r="A48" s="46">
        <v>42.0</v>
      </c>
      <c r="B48" s="49" t="str">
        <f>'Secret. Escolar'!$B$47</f>
        <v/>
      </c>
      <c r="C48" s="49" t="str">
        <f>'Secret. Escolar'!$C$47</f>
        <v/>
      </c>
    </row>
    <row r="49">
      <c r="A49" s="46">
        <v>43.0</v>
      </c>
      <c r="B49" s="49" t="str">
        <f>'Secret. Escolar'!$B$48</f>
        <v/>
      </c>
      <c r="C49" s="49" t="str">
        <f>'Secret. Escolar'!$C$48</f>
        <v/>
      </c>
    </row>
    <row r="50">
      <c r="A50" s="46">
        <v>44.0</v>
      </c>
      <c r="B50" s="49" t="str">
        <f>'Secret. Escolar'!$B$49</f>
        <v/>
      </c>
      <c r="C50" s="49" t="str">
        <f>'Secret. Escolar'!$C$49</f>
        <v/>
      </c>
    </row>
    <row r="51">
      <c r="A51" s="52">
        <v>45.0</v>
      </c>
      <c r="B51" s="49" t="str">
        <f>'Secret. Escolar'!$B$50</f>
        <v/>
      </c>
      <c r="C51" s="49" t="str">
        <f>'Secret. Escolar'!$C$50</f>
        <v/>
      </c>
    </row>
    <row r="52">
      <c r="A52" s="52">
        <v>46.0</v>
      </c>
      <c r="B52" s="49" t="str">
        <f>'Secret. Escolar'!$B$51</f>
        <v/>
      </c>
      <c r="C52" s="49" t="str">
        <f>'Secret. Escolar'!$C$51</f>
        <v/>
      </c>
    </row>
    <row r="53">
      <c r="A53" s="52">
        <v>47.0</v>
      </c>
      <c r="B53" s="49" t="str">
        <f>'Secret. Escolar'!$B$52</f>
        <v/>
      </c>
      <c r="C53" s="49" t="str">
        <f>'Secret. Escolar'!$C$52</f>
        <v/>
      </c>
    </row>
    <row r="54">
      <c r="A54" s="52">
        <v>48.0</v>
      </c>
      <c r="B54" s="49" t="str">
        <f>'Secret. Escolar'!$B$53</f>
        <v/>
      </c>
      <c r="C54" s="49" t="str">
        <f>'Secret. Escolar'!$C$53</f>
        <v/>
      </c>
    </row>
    <row r="55">
      <c r="A55" s="52">
        <v>49.0</v>
      </c>
      <c r="B55" s="49" t="str">
        <f>'Secret. Escolar'!$B$54</f>
        <v/>
      </c>
      <c r="C55" s="49" t="str">
        <f>'Secret. Escolar'!$C$54</f>
        <v/>
      </c>
    </row>
    <row r="56">
      <c r="A56" s="52">
        <v>50.0</v>
      </c>
      <c r="B56" s="49" t="str">
        <f>'Secret. Escolar'!$B$55</f>
        <v/>
      </c>
      <c r="C56" s="49" t="str">
        <f>'Secret. Escolar'!$C$55</f>
        <v/>
      </c>
    </row>
  </sheetData>
  <mergeCells count="6">
    <mergeCell ref="A1:B1"/>
    <mergeCell ref="C1:C6"/>
    <mergeCell ref="A2:B2"/>
    <mergeCell ref="A3:B3"/>
    <mergeCell ref="A4:B4"/>
    <mergeCell ref="A5:B5"/>
  </mergeCells>
  <printOptions horizontalCentered="1"/>
  <pageMargins bottom="0.19685039370078738" footer="0.0" header="0.0" left="0.19685039370078738" right="0.19685039370078738" top="0.19685039370078738"/>
  <pageSetup fitToWidth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3.13"/>
    <col customWidth="1" min="5" max="5" width="2.63"/>
    <col customWidth="1" min="6" max="6" width="2.75"/>
    <col customWidth="1" min="7" max="7" width="2.88"/>
    <col customWidth="1" min="8" max="8" width="2.63"/>
    <col customWidth="1" min="9" max="10" width="2.88"/>
    <col customWidth="1" min="11" max="11" width="3.0"/>
    <col customWidth="1" min="12" max="12" width="2.88"/>
    <col customWidth="1" min="13" max="13" width="2.75"/>
    <col customWidth="1" min="14" max="14" width="3.13"/>
    <col customWidth="1" min="15" max="15" width="2.88"/>
    <col customWidth="1" min="16" max="16" width="3.0"/>
    <col customWidth="1" min="17" max="17" width="3.13"/>
    <col customWidth="1" min="18" max="18" width="2.88"/>
    <col customWidth="1" min="19" max="19" width="2.75"/>
    <col customWidth="1" min="20" max="21" width="3.0"/>
    <col customWidth="1" min="22" max="22" width="2.88"/>
    <col customWidth="1" min="23" max="23" width="3.0"/>
    <col customWidth="1" min="24" max="24" width="2.63"/>
    <col customWidth="1" min="25" max="27" width="2.75"/>
    <col customWidth="1" min="28" max="28" width="3.0"/>
    <col customWidth="1" min="29" max="34" width="2.38"/>
    <col customWidth="1" min="35" max="35" width="2.88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1º Bimestre"&amp;"                                                                    Professor(a): "&amp;Capa!G35</f>
        <v>Ano: 2°                Turma: D             Turno: Vespertino              Ano Letivo: 2026           1º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>
      <c r="A3" s="55" t="s">
        <v>56</v>
      </c>
      <c r="B3" s="56" t="str">
        <f>"Aulas Dadas: "&amp;COUNTA(E5:AH5)</f>
        <v>Aulas Dadas: 20</v>
      </c>
      <c r="C3" s="57" t="s">
        <v>57</v>
      </c>
      <c r="D3" s="58" t="s">
        <v>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ht="21.75" customHeight="1">
      <c r="A4" s="45"/>
      <c r="B4" s="48"/>
      <c r="C4" s="45"/>
      <c r="D4" s="59" t="s">
        <v>59</v>
      </c>
      <c r="E4" s="60">
        <v>1.0</v>
      </c>
      <c r="F4" s="60">
        <v>2.0</v>
      </c>
      <c r="G4" s="60">
        <v>3.0</v>
      </c>
      <c r="H4" s="60">
        <v>4.0</v>
      </c>
      <c r="I4" s="60">
        <v>5.0</v>
      </c>
      <c r="J4" s="60">
        <v>6.0</v>
      </c>
      <c r="K4" s="60">
        <v>7.0</v>
      </c>
      <c r="L4" s="60">
        <v>8.0</v>
      </c>
      <c r="M4" s="60">
        <v>9.0</v>
      </c>
      <c r="N4" s="60">
        <v>10.0</v>
      </c>
      <c r="O4" s="60">
        <v>11.0</v>
      </c>
      <c r="P4" s="60">
        <v>12.0</v>
      </c>
      <c r="Q4" s="60">
        <v>13.0</v>
      </c>
      <c r="R4" s="60">
        <v>14.0</v>
      </c>
      <c r="S4" s="60">
        <v>15.0</v>
      </c>
      <c r="T4" s="60">
        <v>16.0</v>
      </c>
      <c r="U4" s="60">
        <v>17.0</v>
      </c>
      <c r="V4" s="60">
        <v>18.0</v>
      </c>
      <c r="W4" s="60">
        <v>19.0</v>
      </c>
      <c r="X4" s="60">
        <v>20.0</v>
      </c>
      <c r="Y4" s="60">
        <v>21.0</v>
      </c>
      <c r="Z4" s="60">
        <v>22.0</v>
      </c>
      <c r="AA4" s="60">
        <v>23.0</v>
      </c>
      <c r="AB4" s="60">
        <v>24.0</v>
      </c>
      <c r="AC4" s="60">
        <v>25.0</v>
      </c>
      <c r="AD4" s="60">
        <v>26.0</v>
      </c>
      <c r="AE4" s="60">
        <v>27.0</v>
      </c>
      <c r="AF4" s="60">
        <v>28.0</v>
      </c>
      <c r="AG4" s="60">
        <v>29.0</v>
      </c>
      <c r="AH4" s="60">
        <v>30.0</v>
      </c>
      <c r="AI4" s="61" t="s">
        <v>60</v>
      </c>
    </row>
    <row r="5" ht="69.0" customHeight="1">
      <c r="A5" s="48"/>
      <c r="B5" s="62" t="s">
        <v>61</v>
      </c>
      <c r="C5" s="48"/>
      <c r="D5" s="21"/>
      <c r="E5" s="63">
        <v>46077.0</v>
      </c>
      <c r="F5" s="63">
        <v>46079.0</v>
      </c>
      <c r="G5" s="64">
        <v>46084.0</v>
      </c>
      <c r="H5" s="64">
        <v>46086.0</v>
      </c>
      <c r="I5" s="64">
        <v>46091.0</v>
      </c>
      <c r="J5" s="64">
        <v>46093.0</v>
      </c>
      <c r="K5" s="64">
        <v>46098.0</v>
      </c>
      <c r="L5" s="64">
        <v>46100.0</v>
      </c>
      <c r="M5" s="64">
        <v>46105.0</v>
      </c>
      <c r="N5" s="64">
        <v>46107.0</v>
      </c>
      <c r="O5" s="64">
        <v>46112.0</v>
      </c>
      <c r="P5" s="64">
        <v>46114.0</v>
      </c>
      <c r="Q5" s="64">
        <v>46119.0</v>
      </c>
      <c r="R5" s="64">
        <v>46121.0</v>
      </c>
      <c r="S5" s="64">
        <v>46126.0</v>
      </c>
      <c r="T5" s="64">
        <v>46128.0</v>
      </c>
      <c r="U5" s="64">
        <v>46133.0</v>
      </c>
      <c r="V5" s="64">
        <v>46135.0</v>
      </c>
      <c r="W5" s="64">
        <v>46140.0</v>
      </c>
      <c r="X5" s="64">
        <v>46142.0</v>
      </c>
      <c r="Y5" s="65"/>
      <c r="Z5" s="65"/>
      <c r="AA5" s="65"/>
      <c r="AB5" s="65"/>
      <c r="AC5" s="65"/>
      <c r="AD5" s="65"/>
      <c r="AE5" s="65"/>
      <c r="AF5" s="65"/>
      <c r="AG5" s="65"/>
      <c r="AH5" s="66"/>
      <c r="AI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7">
        <v>1.0</v>
      </c>
      <c r="E6" s="68" t="s">
        <v>62</v>
      </c>
      <c r="F6" s="68" t="s">
        <v>62</v>
      </c>
      <c r="G6" s="68" t="s">
        <v>62</v>
      </c>
      <c r="H6" s="68" t="s">
        <v>62</v>
      </c>
      <c r="I6" s="68" t="s">
        <v>62</v>
      </c>
      <c r="J6" s="68" t="s">
        <v>62</v>
      </c>
      <c r="K6" s="68" t="s">
        <v>62</v>
      </c>
      <c r="L6" s="68" t="s">
        <v>62</v>
      </c>
      <c r="M6" s="68" t="s">
        <v>62</v>
      </c>
      <c r="N6" s="68" t="s">
        <v>62</v>
      </c>
      <c r="O6" s="68" t="s">
        <v>62</v>
      </c>
      <c r="P6" s="68" t="s">
        <v>62</v>
      </c>
      <c r="Q6" s="68" t="s">
        <v>62</v>
      </c>
      <c r="R6" s="68" t="s">
        <v>62</v>
      </c>
      <c r="S6" s="68" t="s">
        <v>62</v>
      </c>
      <c r="T6" s="68" t="s">
        <v>62</v>
      </c>
      <c r="U6" s="68" t="s">
        <v>62</v>
      </c>
      <c r="V6" s="68" t="s">
        <v>62</v>
      </c>
      <c r="W6" s="68" t="s">
        <v>62</v>
      </c>
      <c r="X6" s="68" t="s">
        <v>62</v>
      </c>
      <c r="Y6" s="69"/>
      <c r="Z6" s="69"/>
      <c r="AA6" s="69"/>
      <c r="AB6" s="69"/>
      <c r="AC6" s="69"/>
      <c r="AD6" s="70"/>
      <c r="AE6" s="70"/>
      <c r="AF6" s="70"/>
      <c r="AG6" s="70"/>
      <c r="AH6" s="70"/>
      <c r="AI6" s="71">
        <f t="shared" ref="AI6:AI55" si="1">COUNTIF(E6:AH6,"f")</f>
        <v>0</v>
      </c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7">
        <v>2.0</v>
      </c>
      <c r="E7" s="68" t="s">
        <v>62</v>
      </c>
      <c r="F7" s="68" t="s">
        <v>62</v>
      </c>
      <c r="G7" s="68" t="s">
        <v>62</v>
      </c>
      <c r="H7" s="68" t="s">
        <v>62</v>
      </c>
      <c r="I7" s="68" t="s">
        <v>62</v>
      </c>
      <c r="J7" s="68" t="s">
        <v>62</v>
      </c>
      <c r="K7" s="68" t="s">
        <v>62</v>
      </c>
      <c r="L7" s="68" t="s">
        <v>62</v>
      </c>
      <c r="M7" s="68" t="s">
        <v>62</v>
      </c>
      <c r="N7" s="68" t="s">
        <v>62</v>
      </c>
      <c r="O7" s="68" t="s">
        <v>62</v>
      </c>
      <c r="P7" s="68" t="s">
        <v>62</v>
      </c>
      <c r="Q7" s="68" t="s">
        <v>62</v>
      </c>
      <c r="R7" s="68" t="s">
        <v>62</v>
      </c>
      <c r="S7" s="68" t="s">
        <v>62</v>
      </c>
      <c r="T7" s="68" t="s">
        <v>62</v>
      </c>
      <c r="U7" s="68" t="s">
        <v>62</v>
      </c>
      <c r="V7" s="68" t="s">
        <v>62</v>
      </c>
      <c r="W7" s="68" t="s">
        <v>62</v>
      </c>
      <c r="X7" s="68" t="s">
        <v>62</v>
      </c>
      <c r="Y7" s="68"/>
      <c r="Z7" s="69"/>
      <c r="AA7" s="69"/>
      <c r="AB7" s="69"/>
      <c r="AC7" s="69"/>
      <c r="AD7" s="70"/>
      <c r="AE7" s="70"/>
      <c r="AF7" s="70"/>
      <c r="AG7" s="70"/>
      <c r="AH7" s="70"/>
      <c r="AI7" s="71">
        <f t="shared" si="1"/>
        <v>0</v>
      </c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7">
        <v>3.0</v>
      </c>
      <c r="E8" s="68" t="s">
        <v>62</v>
      </c>
      <c r="F8" s="68" t="s">
        <v>62</v>
      </c>
      <c r="G8" s="68" t="s">
        <v>62</v>
      </c>
      <c r="H8" s="68" t="s">
        <v>62</v>
      </c>
      <c r="I8" s="68" t="s">
        <v>62</v>
      </c>
      <c r="J8" s="68" t="s">
        <v>62</v>
      </c>
      <c r="K8" s="68" t="s">
        <v>62</v>
      </c>
      <c r="L8" s="68" t="s">
        <v>62</v>
      </c>
      <c r="M8" s="68" t="s">
        <v>62</v>
      </c>
      <c r="N8" s="68" t="s">
        <v>62</v>
      </c>
      <c r="O8" s="68" t="s">
        <v>62</v>
      </c>
      <c r="P8" s="68" t="s">
        <v>62</v>
      </c>
      <c r="Q8" s="68" t="s">
        <v>62</v>
      </c>
      <c r="R8" s="68" t="s">
        <v>62</v>
      </c>
      <c r="S8" s="68" t="s">
        <v>62</v>
      </c>
      <c r="T8" s="68" t="s">
        <v>62</v>
      </c>
      <c r="U8" s="68" t="s">
        <v>62</v>
      </c>
      <c r="V8" s="68" t="s">
        <v>62</v>
      </c>
      <c r="W8" s="68" t="s">
        <v>62</v>
      </c>
      <c r="X8" s="68" t="s">
        <v>62</v>
      </c>
      <c r="Y8" s="69"/>
      <c r="Z8" s="69"/>
      <c r="AA8" s="69"/>
      <c r="AB8" s="69"/>
      <c r="AC8" s="69"/>
      <c r="AD8" s="70"/>
      <c r="AE8" s="70"/>
      <c r="AF8" s="70"/>
      <c r="AG8" s="70"/>
      <c r="AH8" s="70"/>
      <c r="AI8" s="71">
        <f t="shared" si="1"/>
        <v>0</v>
      </c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7">
        <v>4.0</v>
      </c>
      <c r="E9" s="68" t="s">
        <v>62</v>
      </c>
      <c r="F9" s="68" t="s">
        <v>62</v>
      </c>
      <c r="G9" s="68" t="s">
        <v>62</v>
      </c>
      <c r="H9" s="68" t="s">
        <v>62</v>
      </c>
      <c r="I9" s="68" t="s">
        <v>62</v>
      </c>
      <c r="J9" s="68" t="s">
        <v>62</v>
      </c>
      <c r="K9" s="68" t="s">
        <v>62</v>
      </c>
      <c r="L9" s="68" t="s">
        <v>62</v>
      </c>
      <c r="M9" s="68" t="s">
        <v>62</v>
      </c>
      <c r="N9" s="68" t="s">
        <v>62</v>
      </c>
      <c r="O9" s="68" t="s">
        <v>62</v>
      </c>
      <c r="P9" s="68" t="s">
        <v>62</v>
      </c>
      <c r="Q9" s="68" t="s">
        <v>62</v>
      </c>
      <c r="R9" s="68" t="s">
        <v>62</v>
      </c>
      <c r="S9" s="68" t="s">
        <v>62</v>
      </c>
      <c r="T9" s="68" t="s">
        <v>62</v>
      </c>
      <c r="U9" s="68" t="s">
        <v>62</v>
      </c>
      <c r="V9" s="68" t="s">
        <v>62</v>
      </c>
      <c r="W9" s="68" t="s">
        <v>62</v>
      </c>
      <c r="X9" s="68" t="s">
        <v>63</v>
      </c>
      <c r="Y9" s="69"/>
      <c r="Z9" s="69"/>
      <c r="AA9" s="69"/>
      <c r="AB9" s="69"/>
      <c r="AC9" s="69"/>
      <c r="AD9" s="70"/>
      <c r="AE9" s="70"/>
      <c r="AF9" s="70"/>
      <c r="AG9" s="70"/>
      <c r="AH9" s="70"/>
      <c r="AI9" s="71">
        <f t="shared" si="1"/>
        <v>1</v>
      </c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7">
        <v>5.0</v>
      </c>
      <c r="E10" s="68" t="s">
        <v>62</v>
      </c>
      <c r="F10" s="68" t="s">
        <v>62</v>
      </c>
      <c r="G10" s="68" t="s">
        <v>62</v>
      </c>
      <c r="H10" s="68" t="s">
        <v>62</v>
      </c>
      <c r="I10" s="68" t="s">
        <v>62</v>
      </c>
      <c r="J10" s="68" t="s">
        <v>62</v>
      </c>
      <c r="K10" s="68" t="s">
        <v>62</v>
      </c>
      <c r="L10" s="68" t="s">
        <v>62</v>
      </c>
      <c r="M10" s="68" t="s">
        <v>62</v>
      </c>
      <c r="N10" s="68" t="s">
        <v>62</v>
      </c>
      <c r="O10" s="68" t="s">
        <v>62</v>
      </c>
      <c r="P10" s="68" t="s">
        <v>62</v>
      </c>
      <c r="Q10" s="68" t="s">
        <v>62</v>
      </c>
      <c r="R10" s="68" t="s">
        <v>62</v>
      </c>
      <c r="S10" s="68" t="s">
        <v>62</v>
      </c>
      <c r="T10" s="68" t="s">
        <v>62</v>
      </c>
      <c r="U10" s="68" t="s">
        <v>62</v>
      </c>
      <c r="V10" s="68" t="s">
        <v>62</v>
      </c>
      <c r="W10" s="68" t="s">
        <v>62</v>
      </c>
      <c r="X10" s="68" t="s">
        <v>62</v>
      </c>
      <c r="Y10" s="69"/>
      <c r="Z10" s="69"/>
      <c r="AA10" s="69"/>
      <c r="AB10" s="69"/>
      <c r="AC10" s="69"/>
      <c r="AD10" s="70"/>
      <c r="AE10" s="70"/>
      <c r="AF10" s="70"/>
      <c r="AG10" s="70"/>
      <c r="AH10" s="70"/>
      <c r="AI10" s="71">
        <f t="shared" si="1"/>
        <v>0</v>
      </c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7">
        <v>6.0</v>
      </c>
      <c r="E11" s="68" t="s">
        <v>62</v>
      </c>
      <c r="F11" s="68" t="s">
        <v>62</v>
      </c>
      <c r="G11" s="68" t="s">
        <v>62</v>
      </c>
      <c r="H11" s="68" t="s">
        <v>62</v>
      </c>
      <c r="I11" s="68" t="s">
        <v>62</v>
      </c>
      <c r="J11" s="68" t="s">
        <v>62</v>
      </c>
      <c r="K11" s="68" t="s">
        <v>62</v>
      </c>
      <c r="L11" s="68" t="s">
        <v>62</v>
      </c>
      <c r="M11" s="68" t="s">
        <v>62</v>
      </c>
      <c r="N11" s="68" t="s">
        <v>62</v>
      </c>
      <c r="O11" s="68" t="s">
        <v>62</v>
      </c>
      <c r="P11" s="68" t="s">
        <v>62</v>
      </c>
      <c r="Q11" s="68" t="s">
        <v>62</v>
      </c>
      <c r="R11" s="68" t="s">
        <v>62</v>
      </c>
      <c r="S11" s="68" t="s">
        <v>62</v>
      </c>
      <c r="T11" s="68" t="s">
        <v>62</v>
      </c>
      <c r="U11" s="68" t="s">
        <v>62</v>
      </c>
      <c r="V11" s="68" t="s">
        <v>62</v>
      </c>
      <c r="W11" s="68" t="s">
        <v>62</v>
      </c>
      <c r="X11" s="68" t="s">
        <v>62</v>
      </c>
      <c r="Y11" s="69"/>
      <c r="Z11" s="69"/>
      <c r="AA11" s="69"/>
      <c r="AB11" s="69"/>
      <c r="AC11" s="69"/>
      <c r="AD11" s="70"/>
      <c r="AE11" s="70"/>
      <c r="AF11" s="70"/>
      <c r="AG11" s="70"/>
      <c r="AH11" s="70"/>
      <c r="AI11" s="71">
        <f t="shared" si="1"/>
        <v>0</v>
      </c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7">
        <v>7.0</v>
      </c>
      <c r="E12" s="68" t="s">
        <v>62</v>
      </c>
      <c r="F12" s="68" t="s">
        <v>62</v>
      </c>
      <c r="G12" s="68" t="s">
        <v>62</v>
      </c>
      <c r="H12" s="68" t="s">
        <v>62</v>
      </c>
      <c r="I12" s="68" t="s">
        <v>62</v>
      </c>
      <c r="J12" s="68" t="s">
        <v>62</v>
      </c>
      <c r="K12" s="68" t="s">
        <v>62</v>
      </c>
      <c r="L12" s="68" t="s">
        <v>62</v>
      </c>
      <c r="M12" s="68" t="s">
        <v>62</v>
      </c>
      <c r="N12" s="68" t="s">
        <v>62</v>
      </c>
      <c r="O12" s="68" t="s">
        <v>62</v>
      </c>
      <c r="P12" s="68" t="s">
        <v>62</v>
      </c>
      <c r="Q12" s="68" t="s">
        <v>62</v>
      </c>
      <c r="R12" s="68" t="s">
        <v>62</v>
      </c>
      <c r="S12" s="68" t="s">
        <v>62</v>
      </c>
      <c r="T12" s="68" t="s">
        <v>62</v>
      </c>
      <c r="U12" s="68" t="s">
        <v>62</v>
      </c>
      <c r="V12" s="68" t="s">
        <v>62</v>
      </c>
      <c r="W12" s="68" t="s">
        <v>62</v>
      </c>
      <c r="X12" s="68" t="s">
        <v>62</v>
      </c>
      <c r="Y12" s="69"/>
      <c r="Z12" s="69"/>
      <c r="AA12" s="69"/>
      <c r="AB12" s="69"/>
      <c r="AC12" s="69"/>
      <c r="AD12" s="70"/>
      <c r="AE12" s="70"/>
      <c r="AF12" s="70"/>
      <c r="AG12" s="70"/>
      <c r="AH12" s="70"/>
      <c r="AI12" s="71">
        <f t="shared" si="1"/>
        <v>0</v>
      </c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7">
        <v>8.0</v>
      </c>
      <c r="E13" s="68" t="s">
        <v>62</v>
      </c>
      <c r="F13" s="68" t="s">
        <v>62</v>
      </c>
      <c r="G13" s="68" t="s">
        <v>62</v>
      </c>
      <c r="H13" s="68" t="s">
        <v>62</v>
      </c>
      <c r="I13" s="68" t="s">
        <v>62</v>
      </c>
      <c r="J13" s="68" t="s">
        <v>62</v>
      </c>
      <c r="K13" s="68" t="s">
        <v>62</v>
      </c>
      <c r="L13" s="68" t="s">
        <v>62</v>
      </c>
      <c r="M13" s="68" t="s">
        <v>62</v>
      </c>
      <c r="N13" s="68" t="s">
        <v>62</v>
      </c>
      <c r="O13" s="68" t="s">
        <v>62</v>
      </c>
      <c r="P13" s="68" t="s">
        <v>62</v>
      </c>
      <c r="Q13" s="68" t="s">
        <v>62</v>
      </c>
      <c r="R13" s="68" t="s">
        <v>62</v>
      </c>
      <c r="S13" s="68" t="s">
        <v>62</v>
      </c>
      <c r="T13" s="68" t="s">
        <v>62</v>
      </c>
      <c r="U13" s="68" t="s">
        <v>62</v>
      </c>
      <c r="V13" s="68" t="s">
        <v>62</v>
      </c>
      <c r="W13" s="68" t="s">
        <v>62</v>
      </c>
      <c r="X13" s="68" t="s">
        <v>63</v>
      </c>
      <c r="Y13" s="69"/>
      <c r="Z13" s="69"/>
      <c r="AA13" s="69"/>
      <c r="AB13" s="69"/>
      <c r="AC13" s="69"/>
      <c r="AD13" s="70"/>
      <c r="AE13" s="70"/>
      <c r="AF13" s="70"/>
      <c r="AG13" s="70"/>
      <c r="AH13" s="70"/>
      <c r="AI13" s="71">
        <f t="shared" si="1"/>
        <v>1</v>
      </c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7">
        <v>9.0</v>
      </c>
      <c r="E14" s="68" t="s">
        <v>62</v>
      </c>
      <c r="F14" s="68" t="s">
        <v>62</v>
      </c>
      <c r="G14" s="68" t="s">
        <v>62</v>
      </c>
      <c r="H14" s="68" t="s">
        <v>62</v>
      </c>
      <c r="I14" s="68" t="s">
        <v>62</v>
      </c>
      <c r="J14" s="68" t="s">
        <v>62</v>
      </c>
      <c r="K14" s="68" t="s">
        <v>62</v>
      </c>
      <c r="L14" s="68" t="s">
        <v>62</v>
      </c>
      <c r="M14" s="68" t="s">
        <v>62</v>
      </c>
      <c r="N14" s="68" t="s">
        <v>62</v>
      </c>
      <c r="O14" s="68" t="s">
        <v>62</v>
      </c>
      <c r="P14" s="68" t="s">
        <v>62</v>
      </c>
      <c r="Q14" s="68" t="s">
        <v>62</v>
      </c>
      <c r="R14" s="68" t="s">
        <v>62</v>
      </c>
      <c r="S14" s="68" t="s">
        <v>62</v>
      </c>
      <c r="T14" s="68" t="s">
        <v>62</v>
      </c>
      <c r="U14" s="68" t="s">
        <v>62</v>
      </c>
      <c r="V14" s="68" t="s">
        <v>62</v>
      </c>
      <c r="W14" s="68" t="s">
        <v>62</v>
      </c>
      <c r="X14" s="68" t="s">
        <v>62</v>
      </c>
      <c r="Y14" s="69"/>
      <c r="Z14" s="69"/>
      <c r="AA14" s="69"/>
      <c r="AB14" s="69"/>
      <c r="AC14" s="69"/>
      <c r="AD14" s="70"/>
      <c r="AE14" s="70"/>
      <c r="AF14" s="70"/>
      <c r="AG14" s="70"/>
      <c r="AH14" s="70"/>
      <c r="AI14" s="71">
        <f t="shared" si="1"/>
        <v>0</v>
      </c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7">
        <v>10.0</v>
      </c>
      <c r="E15" s="68" t="s">
        <v>62</v>
      </c>
      <c r="F15" s="68" t="s">
        <v>62</v>
      </c>
      <c r="G15" s="68" t="s">
        <v>62</v>
      </c>
      <c r="H15" s="68" t="s">
        <v>62</v>
      </c>
      <c r="I15" s="68" t="s">
        <v>62</v>
      </c>
      <c r="J15" s="68" t="s">
        <v>62</v>
      </c>
      <c r="K15" s="68" t="s">
        <v>62</v>
      </c>
      <c r="L15" s="68" t="s">
        <v>62</v>
      </c>
      <c r="M15" s="68" t="s">
        <v>62</v>
      </c>
      <c r="N15" s="68" t="s">
        <v>62</v>
      </c>
      <c r="O15" s="68" t="s">
        <v>62</v>
      </c>
      <c r="P15" s="68" t="s">
        <v>62</v>
      </c>
      <c r="Q15" s="68" t="s">
        <v>62</v>
      </c>
      <c r="R15" s="68" t="s">
        <v>62</v>
      </c>
      <c r="S15" s="68" t="s">
        <v>62</v>
      </c>
      <c r="T15" s="68" t="s">
        <v>62</v>
      </c>
      <c r="U15" s="68" t="s">
        <v>62</v>
      </c>
      <c r="V15" s="68" t="s">
        <v>62</v>
      </c>
      <c r="W15" s="68" t="s">
        <v>62</v>
      </c>
      <c r="X15" s="68" t="s">
        <v>62</v>
      </c>
      <c r="Y15" s="69"/>
      <c r="Z15" s="69"/>
      <c r="AA15" s="69"/>
      <c r="AB15" s="69"/>
      <c r="AC15" s="69"/>
      <c r="AD15" s="70"/>
      <c r="AE15" s="70"/>
      <c r="AF15" s="70"/>
      <c r="AG15" s="70"/>
      <c r="AH15" s="70"/>
      <c r="AI15" s="71">
        <f t="shared" si="1"/>
        <v>0</v>
      </c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7">
        <v>11.0</v>
      </c>
      <c r="E16" s="68" t="s">
        <v>62</v>
      </c>
      <c r="F16" s="68" t="s">
        <v>62</v>
      </c>
      <c r="G16" s="68" t="s">
        <v>62</v>
      </c>
      <c r="H16" s="68" t="s">
        <v>62</v>
      </c>
      <c r="I16" s="68" t="s">
        <v>62</v>
      </c>
      <c r="J16" s="68" t="s">
        <v>62</v>
      </c>
      <c r="K16" s="68" t="s">
        <v>62</v>
      </c>
      <c r="L16" s="68" t="s">
        <v>62</v>
      </c>
      <c r="M16" s="68" t="s">
        <v>62</v>
      </c>
      <c r="N16" s="68" t="s">
        <v>62</v>
      </c>
      <c r="O16" s="68" t="s">
        <v>62</v>
      </c>
      <c r="P16" s="68" t="s">
        <v>62</v>
      </c>
      <c r="Q16" s="68" t="s">
        <v>62</v>
      </c>
      <c r="R16" s="68" t="s">
        <v>62</v>
      </c>
      <c r="S16" s="68" t="s">
        <v>62</v>
      </c>
      <c r="T16" s="68" t="s">
        <v>62</v>
      </c>
      <c r="U16" s="68" t="s">
        <v>62</v>
      </c>
      <c r="V16" s="68" t="s">
        <v>62</v>
      </c>
      <c r="W16" s="68" t="s">
        <v>62</v>
      </c>
      <c r="X16" s="68" t="s">
        <v>62</v>
      </c>
      <c r="Y16" s="69"/>
      <c r="Z16" s="69"/>
      <c r="AA16" s="69"/>
      <c r="AB16" s="69"/>
      <c r="AC16" s="69"/>
      <c r="AD16" s="70"/>
      <c r="AE16" s="70"/>
      <c r="AF16" s="70"/>
      <c r="AG16" s="70"/>
      <c r="AH16" s="70"/>
      <c r="AI16" s="71">
        <f t="shared" si="1"/>
        <v>0</v>
      </c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7">
        <v>12.0</v>
      </c>
      <c r="E17" s="68" t="s">
        <v>62</v>
      </c>
      <c r="F17" s="68" t="s">
        <v>62</v>
      </c>
      <c r="G17" s="68" t="s">
        <v>62</v>
      </c>
      <c r="H17" s="68" t="s">
        <v>62</v>
      </c>
      <c r="I17" s="68" t="s">
        <v>62</v>
      </c>
      <c r="J17" s="68" t="s">
        <v>62</v>
      </c>
      <c r="K17" s="68" t="s">
        <v>62</v>
      </c>
      <c r="L17" s="68" t="s">
        <v>62</v>
      </c>
      <c r="M17" s="68" t="s">
        <v>62</v>
      </c>
      <c r="N17" s="68" t="s">
        <v>62</v>
      </c>
      <c r="O17" s="68" t="s">
        <v>62</v>
      </c>
      <c r="P17" s="68" t="s">
        <v>62</v>
      </c>
      <c r="Q17" s="68" t="s">
        <v>62</v>
      </c>
      <c r="R17" s="68" t="s">
        <v>62</v>
      </c>
      <c r="S17" s="68" t="s">
        <v>62</v>
      </c>
      <c r="T17" s="68" t="s">
        <v>62</v>
      </c>
      <c r="U17" s="68" t="s">
        <v>62</v>
      </c>
      <c r="V17" s="68" t="s">
        <v>62</v>
      </c>
      <c r="W17" s="68" t="s">
        <v>62</v>
      </c>
      <c r="X17" s="68" t="s">
        <v>62</v>
      </c>
      <c r="Y17" s="69"/>
      <c r="Z17" s="69"/>
      <c r="AA17" s="69"/>
      <c r="AB17" s="69"/>
      <c r="AC17" s="69"/>
      <c r="AD17" s="70"/>
      <c r="AE17" s="70"/>
      <c r="AF17" s="70"/>
      <c r="AG17" s="70"/>
      <c r="AH17" s="70"/>
      <c r="AI17" s="71">
        <f t="shared" si="1"/>
        <v>0</v>
      </c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7">
        <v>13.0</v>
      </c>
      <c r="E18" s="68" t="s">
        <v>62</v>
      </c>
      <c r="F18" s="68" t="s">
        <v>62</v>
      </c>
      <c r="G18" s="68" t="s">
        <v>62</v>
      </c>
      <c r="H18" s="68" t="s">
        <v>62</v>
      </c>
      <c r="I18" s="68" t="s">
        <v>62</v>
      </c>
      <c r="J18" s="68" t="s">
        <v>62</v>
      </c>
      <c r="K18" s="68" t="s">
        <v>62</v>
      </c>
      <c r="L18" s="68" t="s">
        <v>62</v>
      </c>
      <c r="M18" s="68" t="s">
        <v>62</v>
      </c>
      <c r="N18" s="68" t="s">
        <v>62</v>
      </c>
      <c r="O18" s="68" t="s">
        <v>62</v>
      </c>
      <c r="P18" s="68" t="s">
        <v>62</v>
      </c>
      <c r="Q18" s="68" t="s">
        <v>62</v>
      </c>
      <c r="R18" s="68" t="s">
        <v>62</v>
      </c>
      <c r="S18" s="68" t="s">
        <v>62</v>
      </c>
      <c r="T18" s="68" t="s">
        <v>62</v>
      </c>
      <c r="U18" s="68" t="s">
        <v>62</v>
      </c>
      <c r="V18" s="68" t="s">
        <v>62</v>
      </c>
      <c r="W18" s="68" t="s">
        <v>62</v>
      </c>
      <c r="X18" s="68" t="s">
        <v>62</v>
      </c>
      <c r="Y18" s="69"/>
      <c r="Z18" s="69"/>
      <c r="AA18" s="69"/>
      <c r="AB18" s="69"/>
      <c r="AC18" s="69"/>
      <c r="AD18" s="70"/>
      <c r="AE18" s="70"/>
      <c r="AF18" s="70"/>
      <c r="AG18" s="70"/>
      <c r="AH18" s="70"/>
      <c r="AI18" s="71">
        <f t="shared" si="1"/>
        <v>0</v>
      </c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7">
        <v>14.0</v>
      </c>
      <c r="E19" s="68" t="s">
        <v>62</v>
      </c>
      <c r="F19" s="68" t="s">
        <v>62</v>
      </c>
      <c r="G19" s="68" t="s">
        <v>62</v>
      </c>
      <c r="H19" s="68" t="s">
        <v>62</v>
      </c>
      <c r="I19" s="68" t="s">
        <v>62</v>
      </c>
      <c r="J19" s="68" t="s">
        <v>62</v>
      </c>
      <c r="K19" s="68" t="s">
        <v>62</v>
      </c>
      <c r="L19" s="68" t="s">
        <v>62</v>
      </c>
      <c r="M19" s="68" t="s">
        <v>62</v>
      </c>
      <c r="N19" s="68" t="s">
        <v>62</v>
      </c>
      <c r="O19" s="68" t="s">
        <v>62</v>
      </c>
      <c r="P19" s="68" t="s">
        <v>62</v>
      </c>
      <c r="Q19" s="68" t="s">
        <v>62</v>
      </c>
      <c r="R19" s="68" t="s">
        <v>62</v>
      </c>
      <c r="S19" s="68" t="s">
        <v>62</v>
      </c>
      <c r="T19" s="68" t="s">
        <v>62</v>
      </c>
      <c r="U19" s="68" t="s">
        <v>62</v>
      </c>
      <c r="V19" s="68" t="s">
        <v>62</v>
      </c>
      <c r="W19" s="68" t="s">
        <v>62</v>
      </c>
      <c r="X19" s="68" t="s">
        <v>62</v>
      </c>
      <c r="Y19" s="69"/>
      <c r="Z19" s="69"/>
      <c r="AA19" s="69"/>
      <c r="AB19" s="69"/>
      <c r="AC19" s="69"/>
      <c r="AD19" s="70"/>
      <c r="AE19" s="70"/>
      <c r="AF19" s="70"/>
      <c r="AG19" s="70"/>
      <c r="AH19" s="70"/>
      <c r="AI19" s="71">
        <f t="shared" si="1"/>
        <v>0</v>
      </c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7">
        <v>15.0</v>
      </c>
      <c r="E20" s="68" t="s">
        <v>62</v>
      </c>
      <c r="F20" s="68" t="s">
        <v>62</v>
      </c>
      <c r="G20" s="68" t="s">
        <v>62</v>
      </c>
      <c r="H20" s="68" t="s">
        <v>62</v>
      </c>
      <c r="I20" s="68" t="s">
        <v>62</v>
      </c>
      <c r="J20" s="68" t="s">
        <v>62</v>
      </c>
      <c r="K20" s="68" t="s">
        <v>62</v>
      </c>
      <c r="L20" s="68" t="s">
        <v>62</v>
      </c>
      <c r="M20" s="68" t="s">
        <v>62</v>
      </c>
      <c r="N20" s="68" t="s">
        <v>62</v>
      </c>
      <c r="O20" s="68" t="s">
        <v>62</v>
      </c>
      <c r="P20" s="68" t="s">
        <v>62</v>
      </c>
      <c r="Q20" s="68" t="s">
        <v>62</v>
      </c>
      <c r="R20" s="68" t="s">
        <v>62</v>
      </c>
      <c r="S20" s="68" t="s">
        <v>62</v>
      </c>
      <c r="T20" s="68" t="s">
        <v>62</v>
      </c>
      <c r="U20" s="68" t="s">
        <v>62</v>
      </c>
      <c r="V20" s="68" t="s">
        <v>62</v>
      </c>
      <c r="W20" s="68" t="s">
        <v>62</v>
      </c>
      <c r="X20" s="68" t="s">
        <v>62</v>
      </c>
      <c r="Y20" s="69"/>
      <c r="Z20" s="69"/>
      <c r="AA20" s="69"/>
      <c r="AB20" s="69"/>
      <c r="AC20" s="69"/>
      <c r="AD20" s="70"/>
      <c r="AE20" s="70"/>
      <c r="AF20" s="70"/>
      <c r="AG20" s="70"/>
      <c r="AH20" s="70"/>
      <c r="AI20" s="71">
        <f t="shared" si="1"/>
        <v>0</v>
      </c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7">
        <v>16.0</v>
      </c>
      <c r="E21" s="68" t="s">
        <v>62</v>
      </c>
      <c r="F21" s="68" t="s">
        <v>62</v>
      </c>
      <c r="G21" s="68" t="s">
        <v>62</v>
      </c>
      <c r="H21" s="68" t="s">
        <v>62</v>
      </c>
      <c r="I21" s="68" t="s">
        <v>62</v>
      </c>
      <c r="J21" s="68" t="s">
        <v>62</v>
      </c>
      <c r="K21" s="68" t="s">
        <v>62</v>
      </c>
      <c r="L21" s="68" t="s">
        <v>62</v>
      </c>
      <c r="M21" s="68" t="s">
        <v>62</v>
      </c>
      <c r="N21" s="68" t="s">
        <v>62</v>
      </c>
      <c r="O21" s="68" t="s">
        <v>62</v>
      </c>
      <c r="P21" s="68" t="s">
        <v>62</v>
      </c>
      <c r="Q21" s="68" t="s">
        <v>62</v>
      </c>
      <c r="R21" s="68" t="s">
        <v>62</v>
      </c>
      <c r="S21" s="68" t="s">
        <v>62</v>
      </c>
      <c r="T21" s="68" t="s">
        <v>62</v>
      </c>
      <c r="U21" s="68" t="s">
        <v>62</v>
      </c>
      <c r="V21" s="68" t="s">
        <v>62</v>
      </c>
      <c r="W21" s="68" t="s">
        <v>62</v>
      </c>
      <c r="X21" s="68" t="s">
        <v>62</v>
      </c>
      <c r="Y21" s="69"/>
      <c r="Z21" s="69"/>
      <c r="AA21" s="69"/>
      <c r="AB21" s="69"/>
      <c r="AC21" s="69"/>
      <c r="AD21" s="70"/>
      <c r="AE21" s="70"/>
      <c r="AF21" s="70"/>
      <c r="AG21" s="70"/>
      <c r="AH21" s="70"/>
      <c r="AI21" s="71">
        <f t="shared" si="1"/>
        <v>0</v>
      </c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7">
        <v>17.0</v>
      </c>
      <c r="E22" s="68" t="s">
        <v>62</v>
      </c>
      <c r="F22" s="68" t="s">
        <v>62</v>
      </c>
      <c r="G22" s="68" t="s">
        <v>62</v>
      </c>
      <c r="H22" s="68" t="s">
        <v>62</v>
      </c>
      <c r="I22" s="68" t="s">
        <v>62</v>
      </c>
      <c r="J22" s="68" t="s">
        <v>62</v>
      </c>
      <c r="K22" s="68" t="s">
        <v>62</v>
      </c>
      <c r="L22" s="68" t="s">
        <v>62</v>
      </c>
      <c r="M22" s="68" t="s">
        <v>62</v>
      </c>
      <c r="N22" s="68" t="s">
        <v>62</v>
      </c>
      <c r="O22" s="68" t="s">
        <v>62</v>
      </c>
      <c r="P22" s="68" t="s">
        <v>62</v>
      </c>
      <c r="Q22" s="68" t="s">
        <v>62</v>
      </c>
      <c r="R22" s="68" t="s">
        <v>62</v>
      </c>
      <c r="S22" s="68" t="s">
        <v>62</v>
      </c>
      <c r="T22" s="68" t="s">
        <v>62</v>
      </c>
      <c r="U22" s="68" t="s">
        <v>62</v>
      </c>
      <c r="V22" s="68" t="s">
        <v>62</v>
      </c>
      <c r="W22" s="68" t="s">
        <v>62</v>
      </c>
      <c r="X22" s="68" t="s">
        <v>62</v>
      </c>
      <c r="Y22" s="69"/>
      <c r="Z22" s="69"/>
      <c r="AA22" s="69"/>
      <c r="AB22" s="69"/>
      <c r="AC22" s="69"/>
      <c r="AD22" s="70"/>
      <c r="AE22" s="70"/>
      <c r="AF22" s="70"/>
      <c r="AG22" s="70"/>
      <c r="AH22" s="70"/>
      <c r="AI22" s="71">
        <f t="shared" si="1"/>
        <v>0</v>
      </c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7">
        <v>18.0</v>
      </c>
      <c r="E23" s="68" t="s">
        <v>62</v>
      </c>
      <c r="F23" s="68" t="s">
        <v>62</v>
      </c>
      <c r="G23" s="68" t="s">
        <v>62</v>
      </c>
      <c r="H23" s="68" t="s">
        <v>62</v>
      </c>
      <c r="I23" s="68" t="s">
        <v>62</v>
      </c>
      <c r="J23" s="68" t="s">
        <v>62</v>
      </c>
      <c r="K23" s="68" t="s">
        <v>62</v>
      </c>
      <c r="L23" s="68" t="s">
        <v>62</v>
      </c>
      <c r="M23" s="68" t="s">
        <v>62</v>
      </c>
      <c r="N23" s="68" t="s">
        <v>62</v>
      </c>
      <c r="O23" s="68" t="s">
        <v>62</v>
      </c>
      <c r="P23" s="68" t="s">
        <v>62</v>
      </c>
      <c r="Q23" s="68" t="s">
        <v>62</v>
      </c>
      <c r="R23" s="68" t="s">
        <v>62</v>
      </c>
      <c r="S23" s="68" t="s">
        <v>62</v>
      </c>
      <c r="T23" s="68" t="s">
        <v>62</v>
      </c>
      <c r="U23" s="68" t="s">
        <v>62</v>
      </c>
      <c r="V23" s="68" t="s">
        <v>62</v>
      </c>
      <c r="W23" s="68" t="s">
        <v>62</v>
      </c>
      <c r="X23" s="68" t="s">
        <v>62</v>
      </c>
      <c r="Y23" s="69"/>
      <c r="Z23" s="69"/>
      <c r="AA23" s="69"/>
      <c r="AB23" s="69"/>
      <c r="AC23" s="69"/>
      <c r="AD23" s="70"/>
      <c r="AE23" s="70"/>
      <c r="AF23" s="70"/>
      <c r="AG23" s="70"/>
      <c r="AH23" s="70"/>
      <c r="AI23" s="71">
        <f t="shared" si="1"/>
        <v>0</v>
      </c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7">
        <v>19.0</v>
      </c>
      <c r="E24" s="68" t="s">
        <v>62</v>
      </c>
      <c r="F24" s="68" t="s">
        <v>62</v>
      </c>
      <c r="G24" s="68" t="s">
        <v>62</v>
      </c>
      <c r="H24" s="68" t="s">
        <v>62</v>
      </c>
      <c r="I24" s="68" t="s">
        <v>62</v>
      </c>
      <c r="J24" s="68" t="s">
        <v>62</v>
      </c>
      <c r="K24" s="68" t="s">
        <v>62</v>
      </c>
      <c r="L24" s="68" t="s">
        <v>62</v>
      </c>
      <c r="M24" s="68" t="s">
        <v>62</v>
      </c>
      <c r="N24" s="68" t="s">
        <v>62</v>
      </c>
      <c r="O24" s="68" t="s">
        <v>62</v>
      </c>
      <c r="P24" s="68" t="s">
        <v>62</v>
      </c>
      <c r="Q24" s="68" t="s">
        <v>62</v>
      </c>
      <c r="R24" s="68" t="s">
        <v>62</v>
      </c>
      <c r="S24" s="68" t="s">
        <v>62</v>
      </c>
      <c r="T24" s="68" t="s">
        <v>62</v>
      </c>
      <c r="U24" s="68" t="s">
        <v>62</v>
      </c>
      <c r="V24" s="68" t="s">
        <v>62</v>
      </c>
      <c r="W24" s="68" t="s">
        <v>62</v>
      </c>
      <c r="X24" s="68" t="s">
        <v>62</v>
      </c>
      <c r="Y24" s="69"/>
      <c r="Z24" s="69"/>
      <c r="AA24" s="69"/>
      <c r="AB24" s="69"/>
      <c r="AC24" s="69"/>
      <c r="AD24" s="70"/>
      <c r="AE24" s="70"/>
      <c r="AF24" s="70"/>
      <c r="AG24" s="70"/>
      <c r="AH24" s="70"/>
      <c r="AI24" s="71">
        <f t="shared" si="1"/>
        <v>0</v>
      </c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7">
        <v>20.0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  <c r="Y25" s="69"/>
      <c r="Z25" s="69"/>
      <c r="AA25" s="69"/>
      <c r="AB25" s="69"/>
      <c r="AC25" s="69"/>
      <c r="AD25" s="70"/>
      <c r="AE25" s="70"/>
      <c r="AF25" s="70"/>
      <c r="AG25" s="70"/>
      <c r="AH25" s="70"/>
      <c r="AI25" s="71">
        <f t="shared" si="1"/>
        <v>0</v>
      </c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7">
        <v>21.0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9"/>
      <c r="Y26" s="69"/>
      <c r="Z26" s="69"/>
      <c r="AA26" s="69"/>
      <c r="AB26" s="69"/>
      <c r="AC26" s="69"/>
      <c r="AD26" s="70"/>
      <c r="AE26" s="70"/>
      <c r="AF26" s="70"/>
      <c r="AG26" s="70"/>
      <c r="AH26" s="70"/>
      <c r="AI26" s="71">
        <f t="shared" si="1"/>
        <v>0</v>
      </c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7">
        <v>22.0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9"/>
      <c r="Y27" s="69"/>
      <c r="Z27" s="69"/>
      <c r="AA27" s="69"/>
      <c r="AB27" s="69"/>
      <c r="AC27" s="69"/>
      <c r="AD27" s="70"/>
      <c r="AE27" s="70"/>
      <c r="AF27" s="70"/>
      <c r="AG27" s="70"/>
      <c r="AH27" s="70"/>
      <c r="AI27" s="71">
        <f t="shared" si="1"/>
        <v>0</v>
      </c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7">
        <v>23.0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9"/>
      <c r="Y28" s="69"/>
      <c r="Z28" s="69"/>
      <c r="AA28" s="69"/>
      <c r="AB28" s="69"/>
      <c r="AC28" s="69"/>
      <c r="AD28" s="70"/>
      <c r="AE28" s="70"/>
      <c r="AF28" s="70"/>
      <c r="AG28" s="70"/>
      <c r="AH28" s="70"/>
      <c r="AI28" s="71">
        <f t="shared" si="1"/>
        <v>0</v>
      </c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7">
        <v>24.0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9"/>
      <c r="Y29" s="69"/>
      <c r="Z29" s="69"/>
      <c r="AA29" s="69"/>
      <c r="AB29" s="69"/>
      <c r="AC29" s="69"/>
      <c r="AD29" s="70"/>
      <c r="AE29" s="70"/>
      <c r="AF29" s="70"/>
      <c r="AG29" s="70"/>
      <c r="AH29" s="70"/>
      <c r="AI29" s="71">
        <f t="shared" si="1"/>
        <v>0</v>
      </c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7">
        <v>25.0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9"/>
      <c r="Y30" s="69"/>
      <c r="Z30" s="69"/>
      <c r="AA30" s="69"/>
      <c r="AB30" s="69"/>
      <c r="AC30" s="68"/>
      <c r="AD30" s="60"/>
      <c r="AE30" s="60"/>
      <c r="AF30" s="60"/>
      <c r="AG30" s="60"/>
      <c r="AH30" s="60"/>
      <c r="AI30" s="71">
        <f t="shared" si="1"/>
        <v>0</v>
      </c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7">
        <v>26.0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9"/>
      <c r="Y31" s="69"/>
      <c r="Z31" s="69"/>
      <c r="AA31" s="69"/>
      <c r="AB31" s="69"/>
      <c r="AC31" s="69"/>
      <c r="AD31" s="70"/>
      <c r="AE31" s="70"/>
      <c r="AF31" s="70"/>
      <c r="AG31" s="70"/>
      <c r="AH31" s="70"/>
      <c r="AI31" s="71">
        <f t="shared" si="1"/>
        <v>0</v>
      </c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7">
        <v>27.0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9"/>
      <c r="Y32" s="69"/>
      <c r="Z32" s="69"/>
      <c r="AA32" s="69"/>
      <c r="AB32" s="69"/>
      <c r="AC32" s="69"/>
      <c r="AD32" s="70"/>
      <c r="AE32" s="70"/>
      <c r="AF32" s="70"/>
      <c r="AG32" s="70"/>
      <c r="AH32" s="70"/>
      <c r="AI32" s="71">
        <f t="shared" si="1"/>
        <v>0</v>
      </c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7">
        <v>28.0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69"/>
      <c r="Z33" s="69"/>
      <c r="AA33" s="69"/>
      <c r="AB33" s="69"/>
      <c r="AC33" s="69"/>
      <c r="AD33" s="70"/>
      <c r="AE33" s="70"/>
      <c r="AF33" s="70"/>
      <c r="AG33" s="70"/>
      <c r="AH33" s="70"/>
      <c r="AI33" s="71">
        <f t="shared" si="1"/>
        <v>0</v>
      </c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7">
        <v>29.0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70"/>
      <c r="AE34" s="70"/>
      <c r="AF34" s="70"/>
      <c r="AG34" s="70"/>
      <c r="AH34" s="70"/>
      <c r="AI34" s="71">
        <f t="shared" si="1"/>
        <v>0</v>
      </c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7">
        <v>30.0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70"/>
      <c r="AE35" s="70"/>
      <c r="AF35" s="70"/>
      <c r="AG35" s="70"/>
      <c r="AH35" s="70"/>
      <c r="AI35" s="71">
        <f t="shared" si="1"/>
        <v>0</v>
      </c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7">
        <v>31.0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70"/>
      <c r="AE36" s="70"/>
      <c r="AF36" s="70"/>
      <c r="AG36" s="70"/>
      <c r="AH36" s="70"/>
      <c r="AI36" s="71">
        <f t="shared" si="1"/>
        <v>0</v>
      </c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7">
        <v>32.0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0"/>
      <c r="AE37" s="70"/>
      <c r="AF37" s="70"/>
      <c r="AG37" s="70"/>
      <c r="AH37" s="70"/>
      <c r="AI37" s="71">
        <f t="shared" si="1"/>
        <v>0</v>
      </c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7">
        <v>33.0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70"/>
      <c r="AE38" s="70"/>
      <c r="AF38" s="70"/>
      <c r="AG38" s="70"/>
      <c r="AH38" s="70"/>
      <c r="AI38" s="71">
        <f t="shared" si="1"/>
        <v>0</v>
      </c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7">
        <v>34.0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70"/>
      <c r="AE39" s="70"/>
      <c r="AF39" s="70"/>
      <c r="AG39" s="70"/>
      <c r="AH39" s="70"/>
      <c r="AI39" s="71">
        <f t="shared" si="1"/>
        <v>0</v>
      </c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7">
        <v>35.0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70"/>
      <c r="AE40" s="70"/>
      <c r="AF40" s="70"/>
      <c r="AG40" s="70"/>
      <c r="AH40" s="70"/>
      <c r="AI40" s="71">
        <f t="shared" si="1"/>
        <v>0</v>
      </c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7">
        <v>36.0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70"/>
      <c r="AE41" s="70"/>
      <c r="AF41" s="70"/>
      <c r="AG41" s="70"/>
      <c r="AH41" s="70"/>
      <c r="AI41" s="71">
        <f t="shared" si="1"/>
        <v>0</v>
      </c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7">
        <v>37.0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70"/>
      <c r="AE42" s="70"/>
      <c r="AF42" s="70"/>
      <c r="AG42" s="70"/>
      <c r="AH42" s="70"/>
      <c r="AI42" s="71">
        <f t="shared" si="1"/>
        <v>0</v>
      </c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7">
        <v>38.0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70"/>
      <c r="AE43" s="70"/>
      <c r="AF43" s="70"/>
      <c r="AG43" s="70"/>
      <c r="AH43" s="70"/>
      <c r="AI43" s="71">
        <f t="shared" si="1"/>
        <v>0</v>
      </c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7">
        <v>39.0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70"/>
      <c r="AE44" s="70"/>
      <c r="AF44" s="70"/>
      <c r="AG44" s="70"/>
      <c r="AH44" s="70"/>
      <c r="AI44" s="71">
        <f t="shared" si="1"/>
        <v>0</v>
      </c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7">
        <v>40.0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70"/>
      <c r="AE45" s="70"/>
      <c r="AF45" s="70"/>
      <c r="AG45" s="70"/>
      <c r="AH45" s="70"/>
      <c r="AI45" s="71">
        <f t="shared" si="1"/>
        <v>0</v>
      </c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7">
        <v>41.0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70"/>
      <c r="AE46" s="70"/>
      <c r="AF46" s="70"/>
      <c r="AG46" s="70"/>
      <c r="AH46" s="70"/>
      <c r="AI46" s="71">
        <f t="shared" si="1"/>
        <v>0</v>
      </c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7">
        <v>42.0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70"/>
      <c r="AE47" s="70"/>
      <c r="AF47" s="70"/>
      <c r="AG47" s="70"/>
      <c r="AH47" s="70"/>
      <c r="AI47" s="71">
        <f t="shared" si="1"/>
        <v>0</v>
      </c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7">
        <v>43.0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70"/>
      <c r="AE48" s="70"/>
      <c r="AF48" s="70"/>
      <c r="AG48" s="70"/>
      <c r="AH48" s="70"/>
      <c r="AI48" s="71">
        <f t="shared" si="1"/>
        <v>0</v>
      </c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7">
        <v>44.0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70"/>
      <c r="AE49" s="70"/>
      <c r="AF49" s="70"/>
      <c r="AG49" s="70"/>
      <c r="AH49" s="70"/>
      <c r="AI49" s="71">
        <f t="shared" si="1"/>
        <v>0</v>
      </c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7">
        <v>45.0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70"/>
      <c r="AE50" s="70"/>
      <c r="AF50" s="70"/>
      <c r="AG50" s="70"/>
      <c r="AH50" s="70"/>
      <c r="AI50" s="71">
        <f t="shared" si="1"/>
        <v>0</v>
      </c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7">
        <v>46.0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70"/>
      <c r="AE51" s="70"/>
      <c r="AF51" s="70"/>
      <c r="AG51" s="70"/>
      <c r="AH51" s="70"/>
      <c r="AI51" s="71">
        <f t="shared" si="1"/>
        <v>0</v>
      </c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7">
        <v>47.0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70"/>
      <c r="AE52" s="70"/>
      <c r="AF52" s="70"/>
      <c r="AG52" s="70"/>
      <c r="AH52" s="70"/>
      <c r="AI52" s="71">
        <f t="shared" si="1"/>
        <v>0</v>
      </c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7">
        <v>48.0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70"/>
      <c r="AE53" s="70"/>
      <c r="AF53" s="70"/>
      <c r="AG53" s="70"/>
      <c r="AH53" s="70"/>
      <c r="AI53" s="71">
        <f t="shared" si="1"/>
        <v>0</v>
      </c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7">
        <v>49.0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70"/>
      <c r="AE54" s="70"/>
      <c r="AF54" s="70"/>
      <c r="AG54" s="70"/>
      <c r="AH54" s="70"/>
      <c r="AI54" s="71">
        <f t="shared" si="1"/>
        <v>0</v>
      </c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7">
        <v>50.0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70"/>
      <c r="AE55" s="70"/>
      <c r="AF55" s="70"/>
      <c r="AG55" s="70"/>
      <c r="AH55" s="70"/>
      <c r="AI55" s="71">
        <f t="shared" si="1"/>
        <v>0</v>
      </c>
    </row>
  </sheetData>
  <mergeCells count="8">
    <mergeCell ref="A1:C2"/>
    <mergeCell ref="D1:AI2"/>
    <mergeCell ref="A3:A5"/>
    <mergeCell ref="B3:B4"/>
    <mergeCell ref="C3:C5"/>
    <mergeCell ref="D3:AI3"/>
    <mergeCell ref="D4:D5"/>
    <mergeCell ref="AI4:AI5"/>
  </mergeCells>
  <printOptions horizontalCentered="1"/>
  <pageMargins bottom="0.19685039370078738" footer="0.0" header="0.0" left="0.19685039370078738" right="0.19685039370078738" top="0.48339471678943363"/>
  <pageSetup paperSize="9" cellComments="atEnd" orientation="portrait" pageOrder="overThenDown"/>
  <colBreaks count="2" manualBreakCount="2">
    <brk man="1"/>
    <brk id="3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8.0"/>
    <col customWidth="1" min="3" max="3" width="17.5"/>
    <col customWidth="1" min="4" max="4" width="61.0"/>
  </cols>
  <sheetData>
    <row r="1" ht="57.75" customHeight="1">
      <c r="A1" s="72"/>
      <c r="B1" s="73" t="s">
        <v>64</v>
      </c>
      <c r="C1" s="74" t="s">
        <v>65</v>
      </c>
      <c r="D1" s="68" t="s">
        <v>66</v>
      </c>
    </row>
    <row r="2">
      <c r="A2" s="75">
        <v>1.0</v>
      </c>
      <c r="B2" s="76">
        <f>'Frequência 1º Bim'!E5</f>
        <v>46077</v>
      </c>
      <c r="C2" s="77"/>
      <c r="D2" s="78"/>
    </row>
    <row r="3">
      <c r="A3" s="75">
        <v>2.0</v>
      </c>
      <c r="B3" s="76">
        <f>'Frequência 1º Bim'!F5</f>
        <v>46079</v>
      </c>
      <c r="C3" s="77"/>
      <c r="D3" s="78"/>
    </row>
    <row r="4">
      <c r="A4" s="75">
        <v>3.0</v>
      </c>
      <c r="B4" s="79">
        <f>'Frequência 1º Bim'!G5</f>
        <v>46084</v>
      </c>
      <c r="C4" s="77"/>
      <c r="D4" s="78"/>
    </row>
    <row r="5">
      <c r="A5" s="75">
        <v>4.0</v>
      </c>
      <c r="B5" s="79">
        <f>'Frequência 1º Bim'!H5</f>
        <v>46086</v>
      </c>
      <c r="C5" s="77"/>
      <c r="D5" s="78"/>
    </row>
    <row r="6">
      <c r="A6" s="75">
        <v>5.0</v>
      </c>
      <c r="B6" s="79">
        <f>'Frequência 1º Bim'!I5</f>
        <v>46091</v>
      </c>
      <c r="C6" s="77"/>
      <c r="D6" s="78"/>
    </row>
    <row r="7">
      <c r="A7" s="75">
        <v>6.0</v>
      </c>
      <c r="B7" s="79">
        <f>'Frequência 1º Bim'!J5</f>
        <v>46093</v>
      </c>
      <c r="C7" s="77"/>
      <c r="D7" s="80"/>
    </row>
    <row r="8">
      <c r="A8" s="75">
        <v>7.0</v>
      </c>
      <c r="B8" s="79">
        <f>'Frequência 1º Bim'!K5</f>
        <v>46098</v>
      </c>
      <c r="C8" s="77"/>
      <c r="D8" s="81"/>
    </row>
    <row r="9">
      <c r="A9" s="75">
        <v>8.0</v>
      </c>
      <c r="B9" s="79">
        <f>'Frequência 1º Bim'!L5</f>
        <v>46100</v>
      </c>
      <c r="C9" s="77"/>
      <c r="D9" s="80"/>
    </row>
    <row r="10">
      <c r="A10" s="75">
        <v>9.0</v>
      </c>
      <c r="B10" s="79">
        <f>'Frequência 1º Bim'!M5</f>
        <v>46105</v>
      </c>
      <c r="C10" s="77"/>
      <c r="D10" s="80"/>
    </row>
    <row r="11">
      <c r="A11" s="75">
        <v>10.0</v>
      </c>
      <c r="B11" s="79">
        <f>'Frequência 1º Bim'!N5</f>
        <v>46107</v>
      </c>
      <c r="C11" s="77"/>
      <c r="D11" s="82"/>
    </row>
    <row r="12">
      <c r="A12" s="75">
        <v>11.0</v>
      </c>
      <c r="B12" s="79">
        <f>'Frequência 1º Bim'!O5</f>
        <v>46112</v>
      </c>
      <c r="C12" s="77"/>
      <c r="D12" s="83"/>
    </row>
    <row r="13">
      <c r="A13" s="75">
        <v>12.0</v>
      </c>
      <c r="B13" s="79">
        <f>'Frequência 1º Bim'!P5</f>
        <v>46114</v>
      </c>
      <c r="C13" s="77"/>
      <c r="D13" s="83"/>
    </row>
    <row r="14">
      <c r="A14" s="75">
        <v>13.0</v>
      </c>
      <c r="B14" s="79">
        <f>'Frequência 1º Bim'!Q5</f>
        <v>46119</v>
      </c>
      <c r="C14" s="77"/>
      <c r="D14" s="84"/>
    </row>
    <row r="15">
      <c r="A15" s="75">
        <v>14.0</v>
      </c>
      <c r="B15" s="79">
        <f>'Frequência 1º Bim'!R5</f>
        <v>46121</v>
      </c>
      <c r="C15" s="77"/>
      <c r="D15" s="85"/>
    </row>
    <row r="16">
      <c r="A16" s="75">
        <v>15.0</v>
      </c>
      <c r="B16" s="79">
        <f>'Frequência 1º Bim'!S5</f>
        <v>46126</v>
      </c>
      <c r="C16" s="77"/>
      <c r="D16" s="84"/>
    </row>
    <row r="17">
      <c r="A17" s="75">
        <v>16.0</v>
      </c>
      <c r="B17" s="79">
        <f>'Frequência 1º Bim'!T5</f>
        <v>46128</v>
      </c>
      <c r="C17" s="77"/>
      <c r="D17" s="84"/>
    </row>
    <row r="18">
      <c r="A18" s="75">
        <v>17.0</v>
      </c>
      <c r="B18" s="79">
        <f>'Frequência 1º Bim'!U5</f>
        <v>46133</v>
      </c>
      <c r="C18" s="77"/>
      <c r="D18" s="84"/>
    </row>
    <row r="19">
      <c r="A19" s="75">
        <v>18.0</v>
      </c>
      <c r="B19" s="79">
        <f>'Frequência 1º Bim'!V5</f>
        <v>46135</v>
      </c>
      <c r="C19" s="77"/>
      <c r="D19" s="84"/>
    </row>
    <row r="20">
      <c r="A20" s="75">
        <v>19.0</v>
      </c>
      <c r="B20" s="79">
        <f>'Frequência 1º Bim'!W5</f>
        <v>46140</v>
      </c>
      <c r="C20" s="77"/>
      <c r="D20" s="84"/>
    </row>
    <row r="21">
      <c r="A21" s="75">
        <v>20.0</v>
      </c>
      <c r="B21" s="79">
        <f>'Frequência 1º Bim'!X5</f>
        <v>46142</v>
      </c>
      <c r="C21" s="77"/>
      <c r="D21" s="84"/>
    </row>
    <row r="22">
      <c r="A22" s="75">
        <v>21.0</v>
      </c>
      <c r="B22" s="86" t="str">
        <f>'Frequência 1º Bim'!Y5</f>
        <v/>
      </c>
      <c r="C22" s="77"/>
      <c r="D22" s="84"/>
    </row>
    <row r="23">
      <c r="A23" s="75">
        <v>22.0</v>
      </c>
      <c r="B23" s="86" t="str">
        <f>'Frequência 1º Bim'!Z5</f>
        <v/>
      </c>
      <c r="C23" s="77"/>
      <c r="D23" s="84"/>
    </row>
    <row r="24">
      <c r="A24" s="75">
        <v>23.0</v>
      </c>
      <c r="B24" s="86" t="str">
        <f>'Frequência 1º Bim'!AA5</f>
        <v/>
      </c>
      <c r="C24" s="77"/>
      <c r="D24" s="84"/>
    </row>
    <row r="25">
      <c r="A25" s="75">
        <v>24.0</v>
      </c>
      <c r="B25" s="86" t="str">
        <f>'Frequência 1º Bim'!AB5</f>
        <v/>
      </c>
      <c r="C25" s="77"/>
      <c r="D25" s="84"/>
    </row>
    <row r="26">
      <c r="A26" s="75">
        <v>25.0</v>
      </c>
      <c r="B26" s="86" t="str">
        <f>'Frequência 1º Bim'!AC5</f>
        <v/>
      </c>
      <c r="C26" s="77"/>
      <c r="D26" s="87"/>
    </row>
    <row r="27">
      <c r="A27" s="75">
        <v>26.0</v>
      </c>
      <c r="B27" s="86" t="str">
        <f>'Frequência 1º Bim'!AD5</f>
        <v/>
      </c>
      <c r="C27" s="77"/>
      <c r="D27" s="88"/>
    </row>
    <row r="28">
      <c r="A28" s="75">
        <v>27.0</v>
      </c>
      <c r="B28" s="86" t="str">
        <f>'Frequência 1º Bim'!AE5</f>
        <v/>
      </c>
      <c r="C28" s="77"/>
      <c r="D28" s="87"/>
    </row>
    <row r="29">
      <c r="A29" s="75">
        <v>28.0</v>
      </c>
      <c r="B29" s="86" t="str">
        <f>'Frequência 1º Bim'!AF5</f>
        <v/>
      </c>
      <c r="C29" s="77"/>
      <c r="D29" s="87"/>
    </row>
    <row r="30">
      <c r="A30" s="75">
        <v>29.0</v>
      </c>
      <c r="B30" s="86" t="str">
        <f>'Frequência 1º Bim'!AG5</f>
        <v/>
      </c>
      <c r="C30" s="77"/>
      <c r="D30" s="87"/>
    </row>
    <row r="31">
      <c r="A31" s="75">
        <v>30.0</v>
      </c>
      <c r="B31" s="89" t="str">
        <f>'Frequência 1º Bim'!AH5</f>
        <v/>
      </c>
      <c r="C31" s="77"/>
      <c r="D31" s="87"/>
    </row>
    <row r="32">
      <c r="A32" s="90" t="s">
        <v>67</v>
      </c>
      <c r="B32" s="15"/>
      <c r="C32" s="15"/>
      <c r="D32" s="15"/>
    </row>
    <row r="33" ht="35.25" customHeight="1">
      <c r="A33" s="91" t="s">
        <v>68</v>
      </c>
      <c r="C33" s="92">
        <v>20.0</v>
      </c>
      <c r="D33" s="93"/>
    </row>
    <row r="34" ht="18.0" customHeight="1">
      <c r="A34" s="94"/>
      <c r="C34" s="45"/>
      <c r="D34" s="95" t="s">
        <v>69</v>
      </c>
    </row>
    <row r="35" ht="18.0" customHeight="1">
      <c r="A35" s="94"/>
      <c r="C35" s="45"/>
      <c r="D35" s="95" t="str">
        <f>"Professor(a): "&amp;Capa!G35</f>
        <v>Professor(a): ITAMAR VIEIRA NUNES</v>
      </c>
    </row>
    <row r="36" ht="18.0" customHeight="1">
      <c r="A36" s="96"/>
      <c r="B36" s="20"/>
      <c r="C36" s="48"/>
      <c r="D36" s="95" t="s">
        <v>70</v>
      </c>
    </row>
    <row r="37" ht="40.5" customHeight="1">
      <c r="A37" s="91" t="s">
        <v>71</v>
      </c>
      <c r="C37" s="92">
        <f>COUNTA('Frequência 1º Bim'!E5:AH5)</f>
        <v>20</v>
      </c>
      <c r="D37" s="93"/>
    </row>
    <row r="38" ht="29.25" customHeight="1">
      <c r="A38" s="96"/>
      <c r="B38" s="20"/>
      <c r="C38" s="48"/>
      <c r="D38" s="93" t="s">
        <v>72</v>
      </c>
    </row>
  </sheetData>
  <mergeCells count="5">
    <mergeCell ref="A32:D32"/>
    <mergeCell ref="A33:B36"/>
    <mergeCell ref="C33:C36"/>
    <mergeCell ref="A37:B38"/>
    <mergeCell ref="C37:C38"/>
  </mergeCells>
  <dataValidations>
    <dataValidation type="list" allowBlank="1" showErrorMessage="1" sqref="C2:C31">
      <formula1>"Danças,Brinc. e Jogos,Ginásticas,Esportes,Lutas,Vida e Saúde"</formula1>
    </dataValidation>
  </dataValidation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52.0"/>
    <col customWidth="1" min="5" max="6" width="81.75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1º Bimestre"&amp;"                                                                    Professor(a): "&amp;Capa!G35</f>
        <v>Ano: 2°                Turma: D             Turno: Vespertino              Ano Letivo: 2026           1º Bimestre                                                                    Professor(a): ITAMAR VIEIRA NUNES</v>
      </c>
      <c r="F1" s="54"/>
    </row>
    <row r="2">
      <c r="A2" s="20"/>
      <c r="B2" s="20"/>
      <c r="C2" s="20"/>
      <c r="D2" s="20"/>
      <c r="E2" s="20"/>
      <c r="F2" s="54"/>
    </row>
    <row r="3">
      <c r="A3" s="55" t="s">
        <v>56</v>
      </c>
      <c r="B3" s="56" t="str">
        <f>"Aulas Dadas: "&amp;COUNTA('Frequência 1º Bim'!$E$5:$AH$5)</f>
        <v>Aulas Dadas: 20</v>
      </c>
      <c r="C3" s="57" t="s">
        <v>57</v>
      </c>
      <c r="D3" s="97" t="s">
        <v>73</v>
      </c>
      <c r="E3" s="97" t="s">
        <v>74</v>
      </c>
      <c r="F3" s="98"/>
    </row>
    <row r="4" ht="21.75" customHeight="1">
      <c r="A4" s="45"/>
      <c r="B4" s="48"/>
      <c r="C4" s="45"/>
      <c r="D4" s="45"/>
      <c r="E4" s="45"/>
      <c r="F4" s="98"/>
    </row>
    <row r="5" ht="69.0" customHeight="1">
      <c r="A5" s="48"/>
      <c r="B5" s="62" t="s">
        <v>61</v>
      </c>
      <c r="C5" s="48"/>
      <c r="D5" s="48"/>
      <c r="E5" s="48"/>
      <c r="F5" s="9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8"/>
      <c r="E6" s="68"/>
      <c r="F6" s="18"/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8"/>
      <c r="E7" s="68"/>
      <c r="F7" s="18"/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8"/>
      <c r="E8" s="68"/>
      <c r="F8" s="18"/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8"/>
      <c r="E9" s="68"/>
      <c r="F9" s="18"/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8"/>
      <c r="E10" s="68"/>
      <c r="F10" s="18"/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8"/>
      <c r="E11" s="68"/>
      <c r="F11" s="18"/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8"/>
      <c r="E12" s="68"/>
      <c r="F12" s="18"/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8"/>
      <c r="E13" s="68"/>
      <c r="F13" s="18"/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8"/>
      <c r="E14" s="68"/>
      <c r="F14" s="18"/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8"/>
      <c r="E15" s="68"/>
      <c r="F15" s="18"/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8"/>
      <c r="E16" s="68"/>
      <c r="F16" s="18"/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8"/>
      <c r="E17" s="68"/>
      <c r="F17" s="18"/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8"/>
      <c r="E18" s="68"/>
      <c r="F18" s="18"/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8"/>
      <c r="E19" s="68"/>
      <c r="F19" s="18"/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8"/>
      <c r="E20" s="68"/>
      <c r="F20" s="18"/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8"/>
      <c r="E21" s="68"/>
      <c r="F21" s="18"/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8"/>
      <c r="E22" s="68"/>
      <c r="F22" s="18"/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8"/>
      <c r="E23" s="68"/>
      <c r="F23" s="18"/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8"/>
      <c r="E24" s="68"/>
      <c r="F24" s="18"/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8"/>
      <c r="E25" s="68"/>
      <c r="F25" s="18"/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8"/>
      <c r="E26" s="68"/>
      <c r="F26" s="18"/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8"/>
      <c r="E27" s="68"/>
      <c r="F27" s="18"/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8"/>
      <c r="E28" s="68"/>
      <c r="F28" s="18"/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8"/>
      <c r="E29" s="68"/>
      <c r="F29" s="18"/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8"/>
      <c r="E30" s="68"/>
      <c r="F30" s="18"/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8"/>
      <c r="E31" s="68"/>
      <c r="F31" s="18"/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8"/>
      <c r="E32" s="68"/>
      <c r="F32" s="18"/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8"/>
      <c r="E33" s="68"/>
      <c r="F33" s="18"/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9"/>
      <c r="E34" s="69"/>
      <c r="F34" s="99"/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9"/>
      <c r="E35" s="69"/>
      <c r="F35" s="99"/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9"/>
      <c r="E36" s="69"/>
      <c r="F36" s="99"/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9"/>
      <c r="E37" s="69"/>
      <c r="F37" s="99"/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9"/>
      <c r="E38" s="69"/>
      <c r="F38" s="99"/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9"/>
      <c r="E39" s="69"/>
      <c r="F39" s="99"/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9"/>
      <c r="E40" s="69"/>
      <c r="F40" s="99"/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9"/>
      <c r="E41" s="69"/>
      <c r="F41" s="99"/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9"/>
      <c r="E42" s="69"/>
      <c r="F42" s="99"/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9"/>
      <c r="E43" s="69"/>
      <c r="F43" s="99"/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9"/>
      <c r="E44" s="69"/>
      <c r="F44" s="99"/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9"/>
      <c r="E45" s="69"/>
      <c r="F45" s="99"/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9"/>
      <c r="E46" s="69"/>
      <c r="F46" s="99"/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9"/>
      <c r="E47" s="69"/>
      <c r="F47" s="99"/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9"/>
      <c r="E48" s="69"/>
      <c r="F48" s="99"/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9"/>
      <c r="E49" s="69"/>
      <c r="F49" s="99"/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9"/>
      <c r="E50" s="69"/>
      <c r="F50" s="99"/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9"/>
      <c r="E51" s="69"/>
      <c r="F51" s="99"/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9"/>
      <c r="E52" s="69"/>
      <c r="F52" s="99"/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9"/>
      <c r="E53" s="69"/>
      <c r="F53" s="99"/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9"/>
      <c r="E54" s="69"/>
      <c r="F54" s="99"/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9"/>
      <c r="E55" s="69"/>
      <c r="F55" s="99"/>
    </row>
    <row r="57" ht="30.75" customHeight="1"/>
    <row r="58">
      <c r="B58" s="100" t="str">
        <f>"Professor(a): "&amp;Capa!G35</f>
        <v>Professor(a): ITAMAR VIEIRA NUNES</v>
      </c>
      <c r="D58" s="101" t="s">
        <v>75</v>
      </c>
      <c r="F58" s="102"/>
    </row>
    <row r="59">
      <c r="D59" s="9" t="s">
        <v>76</v>
      </c>
    </row>
  </sheetData>
  <mergeCells count="7">
    <mergeCell ref="A1:C2"/>
    <mergeCell ref="D1:E2"/>
    <mergeCell ref="A3:A5"/>
    <mergeCell ref="B3:B4"/>
    <mergeCell ref="C3:C5"/>
    <mergeCell ref="D3:D5"/>
    <mergeCell ref="E3:E5"/>
  </mergeCells>
  <printOptions horizontalCentered="1"/>
  <pageMargins bottom="0.19685039370078738" footer="0.0" header="0.0" left="0.19685039370078738" right="0.19685039370078738" top="0.48339471678943363"/>
  <pageSetup paperSize="9" cellComments="atEnd" orientation="portrait" pageOrder="overThenDown"/>
  <colBreaks count="2" manualBreakCount="2">
    <brk man="1"/>
    <brk id="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3.13"/>
    <col customWidth="1" min="5" max="5" width="2.63"/>
    <col customWidth="1" min="6" max="6" width="2.75"/>
    <col customWidth="1" min="7" max="7" width="2.88"/>
    <col customWidth="1" min="8" max="8" width="2.63"/>
    <col customWidth="1" min="9" max="10" width="2.88"/>
    <col customWidth="1" min="11" max="11" width="3.0"/>
    <col customWidth="1" min="12" max="12" width="2.88"/>
    <col customWidth="1" min="13" max="13" width="2.75"/>
    <col customWidth="1" min="14" max="14" width="3.13"/>
    <col customWidth="1" min="15" max="15" width="2.88"/>
    <col customWidth="1" min="16" max="16" width="3.0"/>
    <col customWidth="1" min="17" max="17" width="3.13"/>
    <col customWidth="1" min="18" max="18" width="2.88"/>
    <col customWidth="1" min="19" max="19" width="2.75"/>
    <col customWidth="1" min="20" max="21" width="3.0"/>
    <col customWidth="1" min="22" max="22" width="2.88"/>
    <col customWidth="1" min="23" max="23" width="3.0"/>
    <col customWidth="1" min="24" max="24" width="2.63"/>
    <col customWidth="1" min="25" max="27" width="2.75"/>
    <col customWidth="1" min="28" max="28" width="3.0"/>
    <col customWidth="1" min="29" max="34" width="2.38"/>
    <col customWidth="1" min="35" max="35" width="2.88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2º Bimestre"&amp;"                                                                    Professor(a): "&amp;Capa!G35</f>
        <v>Ano: 2°                Turma: D             Turno: Vespertino              Ano Letivo: 2026           2º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>
      <c r="A3" s="55" t="s">
        <v>56</v>
      </c>
      <c r="B3" s="56" t="str">
        <f>"Aulas Dadas: "&amp;COUNTA(E5:AH5)</f>
        <v>Aulas Dadas: 0</v>
      </c>
      <c r="C3" s="57" t="s">
        <v>57</v>
      </c>
      <c r="D3" s="58" t="s">
        <v>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ht="21.75" customHeight="1">
      <c r="A4" s="45"/>
      <c r="B4" s="48"/>
      <c r="C4" s="45"/>
      <c r="D4" s="59" t="s">
        <v>59</v>
      </c>
      <c r="E4" s="60">
        <v>1.0</v>
      </c>
      <c r="F4" s="60">
        <v>2.0</v>
      </c>
      <c r="G4" s="60">
        <v>3.0</v>
      </c>
      <c r="H4" s="60">
        <v>4.0</v>
      </c>
      <c r="I4" s="60">
        <v>5.0</v>
      </c>
      <c r="J4" s="60">
        <v>6.0</v>
      </c>
      <c r="K4" s="60">
        <v>7.0</v>
      </c>
      <c r="L4" s="60">
        <v>8.0</v>
      </c>
      <c r="M4" s="60">
        <v>9.0</v>
      </c>
      <c r="N4" s="60">
        <v>10.0</v>
      </c>
      <c r="O4" s="60">
        <v>11.0</v>
      </c>
      <c r="P4" s="60">
        <v>12.0</v>
      </c>
      <c r="Q4" s="60">
        <v>13.0</v>
      </c>
      <c r="R4" s="60">
        <v>14.0</v>
      </c>
      <c r="S4" s="60">
        <v>15.0</v>
      </c>
      <c r="T4" s="60">
        <v>16.0</v>
      </c>
      <c r="U4" s="60">
        <v>17.0</v>
      </c>
      <c r="V4" s="60">
        <v>18.0</v>
      </c>
      <c r="W4" s="60">
        <v>19.0</v>
      </c>
      <c r="X4" s="60">
        <v>20.0</v>
      </c>
      <c r="Y4" s="60">
        <v>21.0</v>
      </c>
      <c r="Z4" s="60">
        <v>22.0</v>
      </c>
      <c r="AA4" s="60">
        <v>23.0</v>
      </c>
      <c r="AB4" s="60">
        <v>24.0</v>
      </c>
      <c r="AC4" s="60">
        <v>25.0</v>
      </c>
      <c r="AD4" s="60">
        <v>26.0</v>
      </c>
      <c r="AE4" s="60">
        <v>27.0</v>
      </c>
      <c r="AF4" s="60">
        <v>28.0</v>
      </c>
      <c r="AG4" s="60">
        <v>29.0</v>
      </c>
      <c r="AH4" s="60">
        <v>30.0</v>
      </c>
      <c r="AI4" s="61" t="s">
        <v>60</v>
      </c>
    </row>
    <row r="5" ht="69.0" customHeight="1">
      <c r="A5" s="48"/>
      <c r="B5" s="62" t="s">
        <v>61</v>
      </c>
      <c r="C5" s="48"/>
      <c r="D5" s="21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103"/>
      <c r="Y5" s="104"/>
      <c r="Z5" s="63"/>
      <c r="AA5" s="63"/>
      <c r="AB5" s="63"/>
      <c r="AC5" s="63"/>
      <c r="AD5" s="63"/>
      <c r="AE5" s="63"/>
      <c r="AF5" s="63"/>
      <c r="AG5" s="63"/>
      <c r="AH5" s="63"/>
      <c r="AI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7">
        <v>1.0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9"/>
      <c r="Y6" s="69"/>
      <c r="Z6" s="69"/>
      <c r="AA6" s="69"/>
      <c r="AB6" s="69"/>
      <c r="AC6" s="69"/>
      <c r="AD6" s="70"/>
      <c r="AE6" s="70"/>
      <c r="AF6" s="70"/>
      <c r="AG6" s="70"/>
      <c r="AH6" s="70"/>
      <c r="AI6" s="71">
        <f t="shared" ref="AI6:AI55" si="1">COUNTIF(E6:AH6,"f")</f>
        <v>0</v>
      </c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7">
        <v>2.0</v>
      </c>
      <c r="E7" s="68"/>
      <c r="F7" s="68"/>
      <c r="G7" s="68"/>
      <c r="H7" s="68"/>
      <c r="I7" s="68"/>
      <c r="J7" s="68"/>
      <c r="K7" s="68"/>
      <c r="L7" s="68"/>
      <c r="M7" s="69"/>
      <c r="N7" s="68"/>
      <c r="O7" s="68"/>
      <c r="P7" s="68"/>
      <c r="Q7" s="68"/>
      <c r="R7" s="68"/>
      <c r="S7" s="68"/>
      <c r="T7" s="68"/>
      <c r="U7" s="68"/>
      <c r="V7" s="68"/>
      <c r="W7" s="68"/>
      <c r="X7" s="69"/>
      <c r="Y7" s="68"/>
      <c r="Z7" s="69"/>
      <c r="AA7" s="69"/>
      <c r="AB7" s="69"/>
      <c r="AC7" s="69"/>
      <c r="AD7" s="70"/>
      <c r="AE7" s="70"/>
      <c r="AF7" s="70"/>
      <c r="AG7" s="70"/>
      <c r="AH7" s="70"/>
      <c r="AI7" s="71">
        <f t="shared" si="1"/>
        <v>0</v>
      </c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7">
        <v>3.0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  <c r="Y8" s="69"/>
      <c r="Z8" s="69"/>
      <c r="AA8" s="69"/>
      <c r="AB8" s="69"/>
      <c r="AC8" s="69"/>
      <c r="AD8" s="70"/>
      <c r="AE8" s="70"/>
      <c r="AF8" s="70"/>
      <c r="AG8" s="70"/>
      <c r="AH8" s="70"/>
      <c r="AI8" s="71">
        <f t="shared" si="1"/>
        <v>0</v>
      </c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7">
        <v>4.0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9"/>
      <c r="Y9" s="69"/>
      <c r="Z9" s="69"/>
      <c r="AA9" s="69"/>
      <c r="AB9" s="69"/>
      <c r="AC9" s="69"/>
      <c r="AD9" s="70"/>
      <c r="AE9" s="70"/>
      <c r="AF9" s="70"/>
      <c r="AG9" s="70"/>
      <c r="AH9" s="70"/>
      <c r="AI9" s="71">
        <f t="shared" si="1"/>
        <v>0</v>
      </c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7">
        <v>5.0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9"/>
      <c r="Y10" s="69"/>
      <c r="Z10" s="69"/>
      <c r="AA10" s="69"/>
      <c r="AB10" s="69"/>
      <c r="AC10" s="69"/>
      <c r="AD10" s="70"/>
      <c r="AE10" s="70"/>
      <c r="AF10" s="70"/>
      <c r="AG10" s="70"/>
      <c r="AH10" s="70"/>
      <c r="AI10" s="71">
        <f t="shared" si="1"/>
        <v>0</v>
      </c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7">
        <v>6.0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9"/>
      <c r="Y11" s="69"/>
      <c r="Z11" s="69"/>
      <c r="AA11" s="69"/>
      <c r="AB11" s="69"/>
      <c r="AC11" s="69"/>
      <c r="AD11" s="70"/>
      <c r="AE11" s="70"/>
      <c r="AF11" s="70"/>
      <c r="AG11" s="70"/>
      <c r="AH11" s="70"/>
      <c r="AI11" s="71">
        <f t="shared" si="1"/>
        <v>0</v>
      </c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7">
        <v>7.0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  <c r="Y12" s="69"/>
      <c r="Z12" s="69"/>
      <c r="AA12" s="69"/>
      <c r="AB12" s="69"/>
      <c r="AC12" s="69"/>
      <c r="AD12" s="70"/>
      <c r="AE12" s="70"/>
      <c r="AF12" s="70"/>
      <c r="AG12" s="70"/>
      <c r="AH12" s="70"/>
      <c r="AI12" s="71">
        <f t="shared" si="1"/>
        <v>0</v>
      </c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7">
        <v>8.0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9"/>
      <c r="Z13" s="69"/>
      <c r="AA13" s="69"/>
      <c r="AB13" s="69"/>
      <c r="AC13" s="69"/>
      <c r="AD13" s="70"/>
      <c r="AE13" s="70"/>
      <c r="AF13" s="70"/>
      <c r="AG13" s="70"/>
      <c r="AH13" s="70"/>
      <c r="AI13" s="71">
        <f t="shared" si="1"/>
        <v>0</v>
      </c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7">
        <v>9.0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  <c r="Y14" s="69"/>
      <c r="Z14" s="69"/>
      <c r="AA14" s="69"/>
      <c r="AB14" s="69"/>
      <c r="AC14" s="69"/>
      <c r="AD14" s="70"/>
      <c r="AE14" s="70"/>
      <c r="AF14" s="70"/>
      <c r="AG14" s="70"/>
      <c r="AH14" s="70"/>
      <c r="AI14" s="71">
        <f t="shared" si="1"/>
        <v>0</v>
      </c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7">
        <v>10.0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9"/>
      <c r="Y15" s="69"/>
      <c r="Z15" s="69"/>
      <c r="AA15" s="69"/>
      <c r="AB15" s="69"/>
      <c r="AC15" s="69"/>
      <c r="AD15" s="70"/>
      <c r="AE15" s="70"/>
      <c r="AF15" s="70"/>
      <c r="AG15" s="70"/>
      <c r="AH15" s="70"/>
      <c r="AI15" s="71">
        <f t="shared" si="1"/>
        <v>0</v>
      </c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7">
        <v>11.0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9"/>
      <c r="Y16" s="69"/>
      <c r="Z16" s="69"/>
      <c r="AA16" s="69"/>
      <c r="AB16" s="69"/>
      <c r="AC16" s="69"/>
      <c r="AD16" s="70"/>
      <c r="AE16" s="70"/>
      <c r="AF16" s="70"/>
      <c r="AG16" s="70"/>
      <c r="AH16" s="70"/>
      <c r="AI16" s="71">
        <f t="shared" si="1"/>
        <v>0</v>
      </c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7">
        <v>12.0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9"/>
      <c r="Y17" s="69"/>
      <c r="Z17" s="69"/>
      <c r="AA17" s="69"/>
      <c r="AB17" s="69"/>
      <c r="AC17" s="69"/>
      <c r="AD17" s="70"/>
      <c r="AE17" s="70"/>
      <c r="AF17" s="70"/>
      <c r="AG17" s="70"/>
      <c r="AH17" s="70"/>
      <c r="AI17" s="71">
        <f t="shared" si="1"/>
        <v>0</v>
      </c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7">
        <v>13.0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9"/>
      <c r="Y18" s="69"/>
      <c r="Z18" s="69"/>
      <c r="AA18" s="69"/>
      <c r="AB18" s="69"/>
      <c r="AC18" s="69"/>
      <c r="AD18" s="70"/>
      <c r="AE18" s="70"/>
      <c r="AF18" s="70"/>
      <c r="AG18" s="70"/>
      <c r="AH18" s="70"/>
      <c r="AI18" s="71">
        <f t="shared" si="1"/>
        <v>0</v>
      </c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7">
        <v>14.0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9"/>
      <c r="Y19" s="69"/>
      <c r="Z19" s="69"/>
      <c r="AA19" s="69"/>
      <c r="AB19" s="69"/>
      <c r="AC19" s="69"/>
      <c r="AD19" s="70"/>
      <c r="AE19" s="70"/>
      <c r="AF19" s="70"/>
      <c r="AG19" s="70"/>
      <c r="AH19" s="70"/>
      <c r="AI19" s="71">
        <f t="shared" si="1"/>
        <v>0</v>
      </c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7">
        <v>15.0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9"/>
      <c r="Y20" s="69"/>
      <c r="Z20" s="69"/>
      <c r="AA20" s="69"/>
      <c r="AB20" s="69"/>
      <c r="AC20" s="69"/>
      <c r="AD20" s="70"/>
      <c r="AE20" s="70"/>
      <c r="AF20" s="70"/>
      <c r="AG20" s="70"/>
      <c r="AH20" s="70"/>
      <c r="AI20" s="71">
        <f t="shared" si="1"/>
        <v>0</v>
      </c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7">
        <v>16.0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9"/>
      <c r="Y21" s="69"/>
      <c r="Z21" s="69"/>
      <c r="AA21" s="69"/>
      <c r="AB21" s="69"/>
      <c r="AC21" s="69"/>
      <c r="AD21" s="70"/>
      <c r="AE21" s="70"/>
      <c r="AF21" s="70"/>
      <c r="AG21" s="70"/>
      <c r="AH21" s="70"/>
      <c r="AI21" s="71">
        <f t="shared" si="1"/>
        <v>0</v>
      </c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7">
        <v>17.0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9"/>
      <c r="Y22" s="69"/>
      <c r="Z22" s="69"/>
      <c r="AA22" s="69"/>
      <c r="AB22" s="69"/>
      <c r="AC22" s="69"/>
      <c r="AD22" s="70"/>
      <c r="AE22" s="70"/>
      <c r="AF22" s="70"/>
      <c r="AG22" s="70"/>
      <c r="AH22" s="70"/>
      <c r="AI22" s="71">
        <f t="shared" si="1"/>
        <v>0</v>
      </c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7">
        <v>18.0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9"/>
      <c r="Y23" s="69"/>
      <c r="Z23" s="69"/>
      <c r="AA23" s="69"/>
      <c r="AB23" s="69"/>
      <c r="AC23" s="69"/>
      <c r="AD23" s="70"/>
      <c r="AE23" s="70"/>
      <c r="AF23" s="70"/>
      <c r="AG23" s="70"/>
      <c r="AH23" s="70"/>
      <c r="AI23" s="71">
        <f t="shared" si="1"/>
        <v>0</v>
      </c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7">
        <v>19.0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9"/>
      <c r="Y24" s="69"/>
      <c r="Z24" s="69"/>
      <c r="AA24" s="69"/>
      <c r="AB24" s="69"/>
      <c r="AC24" s="69"/>
      <c r="AD24" s="70"/>
      <c r="AE24" s="70"/>
      <c r="AF24" s="70"/>
      <c r="AG24" s="70"/>
      <c r="AH24" s="70"/>
      <c r="AI24" s="71">
        <f t="shared" si="1"/>
        <v>0</v>
      </c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7">
        <v>20.0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  <c r="Y25" s="69"/>
      <c r="Z25" s="69"/>
      <c r="AA25" s="69"/>
      <c r="AB25" s="69"/>
      <c r="AC25" s="69"/>
      <c r="AD25" s="70"/>
      <c r="AE25" s="70"/>
      <c r="AF25" s="70"/>
      <c r="AG25" s="70"/>
      <c r="AH25" s="70"/>
      <c r="AI25" s="71">
        <f t="shared" si="1"/>
        <v>0</v>
      </c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7">
        <v>21.0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9"/>
      <c r="Y26" s="69"/>
      <c r="Z26" s="69"/>
      <c r="AA26" s="69"/>
      <c r="AB26" s="69"/>
      <c r="AC26" s="69"/>
      <c r="AD26" s="70"/>
      <c r="AE26" s="70"/>
      <c r="AF26" s="70"/>
      <c r="AG26" s="70"/>
      <c r="AH26" s="70"/>
      <c r="AI26" s="71">
        <f t="shared" si="1"/>
        <v>0</v>
      </c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7">
        <v>22.0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9"/>
      <c r="Y27" s="69"/>
      <c r="Z27" s="69"/>
      <c r="AA27" s="69"/>
      <c r="AB27" s="69"/>
      <c r="AC27" s="69"/>
      <c r="AD27" s="70"/>
      <c r="AE27" s="70"/>
      <c r="AF27" s="70"/>
      <c r="AG27" s="70"/>
      <c r="AH27" s="70"/>
      <c r="AI27" s="71">
        <f t="shared" si="1"/>
        <v>0</v>
      </c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7">
        <v>23.0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9"/>
      <c r="Y28" s="69"/>
      <c r="Z28" s="69"/>
      <c r="AA28" s="69"/>
      <c r="AB28" s="69"/>
      <c r="AC28" s="69"/>
      <c r="AD28" s="70"/>
      <c r="AE28" s="70"/>
      <c r="AF28" s="70"/>
      <c r="AG28" s="70"/>
      <c r="AH28" s="70"/>
      <c r="AI28" s="71">
        <f t="shared" si="1"/>
        <v>0</v>
      </c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7">
        <v>24.0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9"/>
      <c r="Y29" s="69"/>
      <c r="Z29" s="69"/>
      <c r="AA29" s="69"/>
      <c r="AB29" s="69"/>
      <c r="AC29" s="69"/>
      <c r="AD29" s="70"/>
      <c r="AE29" s="70"/>
      <c r="AF29" s="70"/>
      <c r="AG29" s="70"/>
      <c r="AH29" s="70"/>
      <c r="AI29" s="71">
        <f t="shared" si="1"/>
        <v>0</v>
      </c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7">
        <v>25.0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9"/>
      <c r="Y30" s="69"/>
      <c r="Z30" s="69"/>
      <c r="AA30" s="69"/>
      <c r="AB30" s="69"/>
      <c r="AC30" s="68"/>
      <c r="AD30" s="60"/>
      <c r="AE30" s="60"/>
      <c r="AF30" s="60"/>
      <c r="AG30" s="60"/>
      <c r="AH30" s="60"/>
      <c r="AI30" s="71">
        <f t="shared" si="1"/>
        <v>0</v>
      </c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7">
        <v>26.0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9"/>
      <c r="Y31" s="69"/>
      <c r="Z31" s="69"/>
      <c r="AA31" s="69"/>
      <c r="AB31" s="69"/>
      <c r="AC31" s="69"/>
      <c r="AD31" s="70"/>
      <c r="AE31" s="70"/>
      <c r="AF31" s="70"/>
      <c r="AG31" s="70"/>
      <c r="AH31" s="70"/>
      <c r="AI31" s="71">
        <f t="shared" si="1"/>
        <v>0</v>
      </c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7">
        <v>27.0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9"/>
      <c r="Y32" s="69"/>
      <c r="Z32" s="69"/>
      <c r="AA32" s="69"/>
      <c r="AB32" s="69"/>
      <c r="AC32" s="69"/>
      <c r="AD32" s="70"/>
      <c r="AE32" s="70"/>
      <c r="AF32" s="70"/>
      <c r="AG32" s="70"/>
      <c r="AH32" s="70"/>
      <c r="AI32" s="71">
        <f t="shared" si="1"/>
        <v>0</v>
      </c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7">
        <v>28.0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69"/>
      <c r="Z33" s="69"/>
      <c r="AA33" s="69"/>
      <c r="AB33" s="69"/>
      <c r="AC33" s="69"/>
      <c r="AD33" s="70"/>
      <c r="AE33" s="70"/>
      <c r="AF33" s="70"/>
      <c r="AG33" s="70"/>
      <c r="AH33" s="70"/>
      <c r="AI33" s="71">
        <f t="shared" si="1"/>
        <v>0</v>
      </c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7">
        <v>29.0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70"/>
      <c r="AE34" s="70"/>
      <c r="AF34" s="70"/>
      <c r="AG34" s="70"/>
      <c r="AH34" s="70"/>
      <c r="AI34" s="71">
        <f t="shared" si="1"/>
        <v>0</v>
      </c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7">
        <v>30.0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70"/>
      <c r="AE35" s="70"/>
      <c r="AF35" s="70"/>
      <c r="AG35" s="70"/>
      <c r="AH35" s="70"/>
      <c r="AI35" s="71">
        <f t="shared" si="1"/>
        <v>0</v>
      </c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7">
        <v>31.0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70"/>
      <c r="AE36" s="70"/>
      <c r="AF36" s="70"/>
      <c r="AG36" s="70"/>
      <c r="AH36" s="70"/>
      <c r="AI36" s="71">
        <f t="shared" si="1"/>
        <v>0</v>
      </c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7">
        <v>32.0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0"/>
      <c r="AE37" s="70"/>
      <c r="AF37" s="70"/>
      <c r="AG37" s="70"/>
      <c r="AH37" s="70"/>
      <c r="AI37" s="71">
        <f t="shared" si="1"/>
        <v>0</v>
      </c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7">
        <v>33.0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70"/>
      <c r="AE38" s="70"/>
      <c r="AF38" s="70"/>
      <c r="AG38" s="70"/>
      <c r="AH38" s="70"/>
      <c r="AI38" s="71">
        <f t="shared" si="1"/>
        <v>0</v>
      </c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7">
        <v>34.0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70"/>
      <c r="AE39" s="70"/>
      <c r="AF39" s="70"/>
      <c r="AG39" s="70"/>
      <c r="AH39" s="70"/>
      <c r="AI39" s="71">
        <f t="shared" si="1"/>
        <v>0</v>
      </c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7">
        <v>35.0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70"/>
      <c r="AE40" s="70"/>
      <c r="AF40" s="70"/>
      <c r="AG40" s="70"/>
      <c r="AH40" s="70"/>
      <c r="AI40" s="71">
        <f t="shared" si="1"/>
        <v>0</v>
      </c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7">
        <v>36.0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70"/>
      <c r="AE41" s="70"/>
      <c r="AF41" s="70"/>
      <c r="AG41" s="70"/>
      <c r="AH41" s="70"/>
      <c r="AI41" s="71">
        <f t="shared" si="1"/>
        <v>0</v>
      </c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7">
        <v>37.0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70"/>
      <c r="AE42" s="70"/>
      <c r="AF42" s="70"/>
      <c r="AG42" s="70"/>
      <c r="AH42" s="70"/>
      <c r="AI42" s="71">
        <f t="shared" si="1"/>
        <v>0</v>
      </c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7">
        <v>38.0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70"/>
      <c r="AE43" s="70"/>
      <c r="AF43" s="70"/>
      <c r="AG43" s="70"/>
      <c r="AH43" s="70"/>
      <c r="AI43" s="71">
        <f t="shared" si="1"/>
        <v>0</v>
      </c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7">
        <v>39.0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70"/>
      <c r="AE44" s="70"/>
      <c r="AF44" s="70"/>
      <c r="AG44" s="70"/>
      <c r="AH44" s="70"/>
      <c r="AI44" s="71">
        <f t="shared" si="1"/>
        <v>0</v>
      </c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7">
        <v>40.0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70"/>
      <c r="AE45" s="70"/>
      <c r="AF45" s="70"/>
      <c r="AG45" s="70"/>
      <c r="AH45" s="70"/>
      <c r="AI45" s="71">
        <f t="shared" si="1"/>
        <v>0</v>
      </c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7">
        <v>41.0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70"/>
      <c r="AE46" s="70"/>
      <c r="AF46" s="70"/>
      <c r="AG46" s="70"/>
      <c r="AH46" s="70"/>
      <c r="AI46" s="71">
        <f t="shared" si="1"/>
        <v>0</v>
      </c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7">
        <v>42.0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70"/>
      <c r="AE47" s="70"/>
      <c r="AF47" s="70"/>
      <c r="AG47" s="70"/>
      <c r="AH47" s="70"/>
      <c r="AI47" s="71">
        <f t="shared" si="1"/>
        <v>0</v>
      </c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7">
        <v>43.0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70"/>
      <c r="AE48" s="70"/>
      <c r="AF48" s="70"/>
      <c r="AG48" s="70"/>
      <c r="AH48" s="70"/>
      <c r="AI48" s="71">
        <f t="shared" si="1"/>
        <v>0</v>
      </c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7">
        <v>44.0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70"/>
      <c r="AE49" s="70"/>
      <c r="AF49" s="70"/>
      <c r="AG49" s="70"/>
      <c r="AH49" s="70"/>
      <c r="AI49" s="71">
        <f t="shared" si="1"/>
        <v>0</v>
      </c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7">
        <v>45.0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70"/>
      <c r="AE50" s="70"/>
      <c r="AF50" s="70"/>
      <c r="AG50" s="70"/>
      <c r="AH50" s="70"/>
      <c r="AI50" s="71">
        <f t="shared" si="1"/>
        <v>0</v>
      </c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7">
        <v>46.0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70"/>
      <c r="AE51" s="70"/>
      <c r="AF51" s="70"/>
      <c r="AG51" s="70"/>
      <c r="AH51" s="70"/>
      <c r="AI51" s="71">
        <f t="shared" si="1"/>
        <v>0</v>
      </c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7">
        <v>47.0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70"/>
      <c r="AE52" s="70"/>
      <c r="AF52" s="70"/>
      <c r="AG52" s="70"/>
      <c r="AH52" s="70"/>
      <c r="AI52" s="71">
        <f t="shared" si="1"/>
        <v>0</v>
      </c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7">
        <v>48.0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70"/>
      <c r="AE53" s="70"/>
      <c r="AF53" s="70"/>
      <c r="AG53" s="70"/>
      <c r="AH53" s="70"/>
      <c r="AI53" s="71">
        <f t="shared" si="1"/>
        <v>0</v>
      </c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7">
        <v>49.0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70"/>
      <c r="AE54" s="70"/>
      <c r="AF54" s="70"/>
      <c r="AG54" s="70"/>
      <c r="AH54" s="70"/>
      <c r="AI54" s="71">
        <f t="shared" si="1"/>
        <v>0</v>
      </c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7">
        <v>50.0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70"/>
      <c r="AE55" s="70"/>
      <c r="AF55" s="70"/>
      <c r="AG55" s="70"/>
      <c r="AH55" s="70"/>
      <c r="AI55" s="71">
        <f t="shared" si="1"/>
        <v>0</v>
      </c>
    </row>
  </sheetData>
  <mergeCells count="8">
    <mergeCell ref="A1:C2"/>
    <mergeCell ref="D1:AI2"/>
    <mergeCell ref="A3:A5"/>
    <mergeCell ref="B3:B4"/>
    <mergeCell ref="C3:C5"/>
    <mergeCell ref="D3:AI3"/>
    <mergeCell ref="D4:D5"/>
    <mergeCell ref="AI4:AI5"/>
  </mergeCell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colBreaks count="2" manualBreakCount="2">
    <brk man="1"/>
    <brk id="35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8.0"/>
    <col customWidth="1" min="3" max="3" width="17.5"/>
    <col customWidth="1" min="4" max="4" width="61.0"/>
  </cols>
  <sheetData>
    <row r="1" ht="57.75" customHeight="1">
      <c r="A1" s="72" t="s">
        <v>59</v>
      </c>
      <c r="B1" s="73" t="s">
        <v>64</v>
      </c>
      <c r="C1" s="74" t="s">
        <v>65</v>
      </c>
      <c r="D1" s="68" t="s">
        <v>66</v>
      </c>
    </row>
    <row r="2">
      <c r="A2" s="75">
        <v>1.0</v>
      </c>
      <c r="B2" s="86" t="str">
        <f>'Frequência 2º Bim'!E5</f>
        <v/>
      </c>
      <c r="C2" s="77"/>
      <c r="D2" s="78"/>
    </row>
    <row r="3">
      <c r="A3" s="75">
        <v>2.0</v>
      </c>
      <c r="B3" s="86" t="str">
        <f>'Frequência 2º Bim'!F5</f>
        <v/>
      </c>
      <c r="C3" s="77"/>
      <c r="D3" s="78"/>
    </row>
    <row r="4">
      <c r="A4" s="75">
        <v>3.0</v>
      </c>
      <c r="B4" s="86" t="str">
        <f>'Frequência 2º Bim'!G5</f>
        <v/>
      </c>
      <c r="C4" s="77"/>
      <c r="D4" s="78"/>
    </row>
    <row r="5">
      <c r="A5" s="75">
        <v>4.0</v>
      </c>
      <c r="B5" s="86" t="str">
        <f>'Frequência 2º Bim'!H5</f>
        <v/>
      </c>
      <c r="C5" s="77"/>
      <c r="D5" s="78"/>
    </row>
    <row r="6">
      <c r="A6" s="75">
        <v>5.0</v>
      </c>
      <c r="B6" s="86" t="str">
        <f>'Frequência 2º Bim'!I5</f>
        <v/>
      </c>
      <c r="C6" s="77"/>
      <c r="D6" s="78"/>
    </row>
    <row r="7">
      <c r="A7" s="75">
        <v>6.0</v>
      </c>
      <c r="B7" s="86" t="str">
        <f>'Frequência 2º Bim'!J5</f>
        <v/>
      </c>
      <c r="C7" s="77"/>
      <c r="D7" s="80"/>
    </row>
    <row r="8">
      <c r="A8" s="75">
        <v>7.0</v>
      </c>
      <c r="B8" s="86" t="str">
        <f>'Frequência 2º Bim'!K5</f>
        <v/>
      </c>
      <c r="C8" s="77"/>
      <c r="D8" s="81"/>
    </row>
    <row r="9">
      <c r="A9" s="75">
        <v>8.0</v>
      </c>
      <c r="B9" s="86" t="str">
        <f>'Frequência 2º Bim'!L5</f>
        <v/>
      </c>
      <c r="C9" s="77"/>
      <c r="D9" s="80"/>
    </row>
    <row r="10">
      <c r="A10" s="75">
        <v>9.0</v>
      </c>
      <c r="B10" s="86" t="str">
        <f>'Frequência 2º Bim'!M5</f>
        <v/>
      </c>
      <c r="C10" s="77"/>
      <c r="D10" s="80"/>
    </row>
    <row r="11">
      <c r="A11" s="75">
        <v>10.0</v>
      </c>
      <c r="B11" s="86" t="str">
        <f>'Frequência 2º Bim'!N5</f>
        <v/>
      </c>
      <c r="C11" s="77"/>
      <c r="D11" s="82"/>
    </row>
    <row r="12">
      <c r="A12" s="75">
        <v>11.0</v>
      </c>
      <c r="B12" s="86" t="str">
        <f>'Frequência 2º Bim'!O5</f>
        <v/>
      </c>
      <c r="C12" s="77"/>
      <c r="D12" s="83"/>
    </row>
    <row r="13">
      <c r="A13" s="75">
        <v>12.0</v>
      </c>
      <c r="B13" s="86" t="str">
        <f>'Frequência 2º Bim'!P5</f>
        <v/>
      </c>
      <c r="C13" s="77"/>
      <c r="D13" s="83"/>
    </row>
    <row r="14">
      <c r="A14" s="75">
        <v>13.0</v>
      </c>
      <c r="B14" s="86" t="str">
        <f>'Frequência 2º Bim'!Q5</f>
        <v/>
      </c>
      <c r="C14" s="77"/>
      <c r="D14" s="84"/>
    </row>
    <row r="15">
      <c r="A15" s="75">
        <v>14.0</v>
      </c>
      <c r="B15" s="86" t="str">
        <f>'Frequência 2º Bim'!R5</f>
        <v/>
      </c>
      <c r="C15" s="77"/>
      <c r="D15" s="85"/>
    </row>
    <row r="16">
      <c r="A16" s="75">
        <v>15.0</v>
      </c>
      <c r="B16" s="86" t="str">
        <f>'Frequência 2º Bim'!S5</f>
        <v/>
      </c>
      <c r="C16" s="77"/>
      <c r="D16" s="84"/>
    </row>
    <row r="17">
      <c r="A17" s="75">
        <v>16.0</v>
      </c>
      <c r="B17" s="86" t="str">
        <f>'Frequência 2º Bim'!T5</f>
        <v/>
      </c>
      <c r="C17" s="77"/>
      <c r="D17" s="84"/>
    </row>
    <row r="18">
      <c r="A18" s="75">
        <v>17.0</v>
      </c>
      <c r="B18" s="86" t="str">
        <f>'Frequência 2º Bim'!U5</f>
        <v/>
      </c>
      <c r="C18" s="77"/>
      <c r="D18" s="84"/>
    </row>
    <row r="19">
      <c r="A19" s="75">
        <v>18.0</v>
      </c>
      <c r="B19" s="86" t="str">
        <f>'Frequência 2º Bim'!V5</f>
        <v/>
      </c>
      <c r="C19" s="77"/>
      <c r="D19" s="84"/>
    </row>
    <row r="20">
      <c r="A20" s="75">
        <v>19.0</v>
      </c>
      <c r="B20" s="86" t="str">
        <f>'Frequência 2º Bim'!W5</f>
        <v/>
      </c>
      <c r="C20" s="77"/>
      <c r="D20" s="84"/>
    </row>
    <row r="21">
      <c r="A21" s="75">
        <v>20.0</v>
      </c>
      <c r="B21" s="86" t="str">
        <f>'Frequência 2º Bim'!X5</f>
        <v/>
      </c>
      <c r="C21" s="77"/>
      <c r="D21" s="84"/>
    </row>
    <row r="22">
      <c r="A22" s="75">
        <v>21.0</v>
      </c>
      <c r="B22" s="76" t="str">
        <f>'Frequência 2º Bim'!Y5</f>
        <v/>
      </c>
      <c r="C22" s="77"/>
      <c r="D22" s="84"/>
    </row>
    <row r="23">
      <c r="A23" s="75">
        <v>22.0</v>
      </c>
      <c r="B23" s="76" t="str">
        <f>'Frequência 2º Bim'!Z5</f>
        <v/>
      </c>
      <c r="C23" s="77"/>
      <c r="D23" s="84"/>
    </row>
    <row r="24">
      <c r="A24" s="75">
        <v>23.0</v>
      </c>
      <c r="B24" s="76" t="str">
        <f>'Frequência 2º Bim'!AA5</f>
        <v/>
      </c>
      <c r="C24" s="77"/>
      <c r="D24" s="84"/>
    </row>
    <row r="25">
      <c r="A25" s="75">
        <v>24.0</v>
      </c>
      <c r="B25" s="76" t="str">
        <f>'Frequência 2º Bim'!AB5</f>
        <v/>
      </c>
      <c r="C25" s="77"/>
      <c r="D25" s="84"/>
    </row>
    <row r="26">
      <c r="A26" s="75">
        <v>25.0</v>
      </c>
      <c r="B26" s="76" t="str">
        <f>'Frequência 2º Bim'!AC5</f>
        <v/>
      </c>
      <c r="C26" s="77"/>
      <c r="D26" s="87"/>
    </row>
    <row r="27">
      <c r="A27" s="75">
        <v>26.0</v>
      </c>
      <c r="B27" s="76" t="str">
        <f>'Frequência 2º Bim'!AD5</f>
        <v/>
      </c>
      <c r="C27" s="77"/>
      <c r="D27" s="88"/>
    </row>
    <row r="28">
      <c r="A28" s="75">
        <v>27.0</v>
      </c>
      <c r="B28" s="76" t="str">
        <f>'Frequência 2º Bim'!AE5</f>
        <v/>
      </c>
      <c r="C28" s="77"/>
      <c r="D28" s="87"/>
    </row>
    <row r="29">
      <c r="A29" s="75">
        <v>28.0</v>
      </c>
      <c r="B29" s="76" t="str">
        <f>'Frequência 2º Bim'!AF5</f>
        <v/>
      </c>
      <c r="C29" s="77"/>
      <c r="D29" s="87"/>
    </row>
    <row r="30">
      <c r="A30" s="75">
        <v>29.0</v>
      </c>
      <c r="B30" s="76" t="str">
        <f>'Frequência 2º Bim'!AG5</f>
        <v/>
      </c>
      <c r="C30" s="77"/>
      <c r="D30" s="87"/>
    </row>
    <row r="31">
      <c r="A31" s="75">
        <v>30.0</v>
      </c>
      <c r="B31" s="76" t="str">
        <f>'Frequência 2º Bim'!AH5</f>
        <v/>
      </c>
      <c r="C31" s="77"/>
      <c r="D31" s="87"/>
    </row>
    <row r="32">
      <c r="A32" s="90" t="s">
        <v>67</v>
      </c>
      <c r="B32" s="15"/>
      <c r="C32" s="15"/>
      <c r="D32" s="15"/>
    </row>
    <row r="33" ht="35.25" customHeight="1">
      <c r="A33" s="91" t="s">
        <v>68</v>
      </c>
      <c r="C33" s="92">
        <v>20.0</v>
      </c>
      <c r="D33" s="93"/>
    </row>
    <row r="34" ht="18.0" customHeight="1">
      <c r="A34" s="94"/>
      <c r="C34" s="45"/>
      <c r="D34" s="95" t="s">
        <v>69</v>
      </c>
    </row>
    <row r="35" ht="18.0" customHeight="1">
      <c r="A35" s="94"/>
      <c r="C35" s="45"/>
      <c r="D35" s="95" t="str">
        <f>"Professor(a): "&amp;Capa!G35</f>
        <v>Professor(a): ITAMAR VIEIRA NUNES</v>
      </c>
    </row>
    <row r="36" ht="18.0" customHeight="1">
      <c r="A36" s="96"/>
      <c r="B36" s="20"/>
      <c r="C36" s="48"/>
      <c r="D36" s="95" t="s">
        <v>70</v>
      </c>
    </row>
    <row r="37" ht="40.5" customHeight="1">
      <c r="A37" s="91" t="s">
        <v>71</v>
      </c>
      <c r="C37" s="92">
        <f>COUNTA('Frequência 2º Bim'!E5:AH5)</f>
        <v>0</v>
      </c>
      <c r="D37" s="93"/>
    </row>
    <row r="38" ht="29.25" customHeight="1">
      <c r="A38" s="96"/>
      <c r="B38" s="20"/>
      <c r="C38" s="48"/>
      <c r="D38" s="93" t="s">
        <v>72</v>
      </c>
    </row>
  </sheetData>
  <mergeCells count="5">
    <mergeCell ref="A32:D32"/>
    <mergeCell ref="A33:B36"/>
    <mergeCell ref="C33:C36"/>
    <mergeCell ref="A37:B38"/>
    <mergeCell ref="C37:C38"/>
  </mergeCells>
  <dataValidations>
    <dataValidation type="list" allowBlank="1" showErrorMessage="1" sqref="C2:C31">
      <formula1>"Danças,Brinc. e Jogos,Ginásticas,Esportes,Lutas,Vida e Saúde"</formula1>
    </dataValidation>
  </dataValidation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52.0"/>
    <col customWidth="1" min="5" max="5" width="81.75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2º Bimestre"&amp;"                                                                    Professor(a): "&amp;Capa!G35</f>
        <v>Ano: 2°                Turma: D             Turno: Vespertino              Ano Letivo: 2026           2º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</row>
    <row r="3">
      <c r="A3" s="55" t="s">
        <v>56</v>
      </c>
      <c r="B3" s="56" t="str">
        <f>"Aulas Dadas: "&amp;COUNTA('Frequência 2º Bim'!$E$5:$AH$5)</f>
        <v>Aulas Dadas: 0</v>
      </c>
      <c r="C3" s="57" t="s">
        <v>57</v>
      </c>
      <c r="D3" s="97" t="s">
        <v>73</v>
      </c>
      <c r="E3" s="97" t="s">
        <v>74</v>
      </c>
    </row>
    <row r="4" ht="21.75" customHeight="1">
      <c r="A4" s="45"/>
      <c r="B4" s="48"/>
      <c r="C4" s="45"/>
      <c r="D4" s="45"/>
      <c r="E4" s="45"/>
    </row>
    <row r="5" ht="69.0" customHeight="1">
      <c r="A5" s="48"/>
      <c r="B5" s="62" t="s">
        <v>61</v>
      </c>
      <c r="C5" s="48"/>
      <c r="D5" s="48"/>
      <c r="E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8"/>
      <c r="E6" s="68"/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8"/>
      <c r="E7" s="68"/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8"/>
      <c r="E8" s="68"/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8"/>
      <c r="E9" s="68"/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8"/>
      <c r="E10" s="68"/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8"/>
      <c r="E11" s="68"/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8"/>
      <c r="E12" s="68"/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8"/>
      <c r="E13" s="68"/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8"/>
      <c r="E14" s="68"/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8"/>
      <c r="E15" s="68"/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8"/>
      <c r="E16" s="68"/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8"/>
      <c r="E17" s="68"/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8"/>
      <c r="E18" s="68"/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8"/>
      <c r="E19" s="68"/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8"/>
      <c r="E20" s="68"/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8"/>
      <c r="E21" s="68"/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8"/>
      <c r="E22" s="68"/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8"/>
      <c r="E23" s="68"/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8"/>
      <c r="E24" s="68"/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8"/>
      <c r="E25" s="68"/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8"/>
      <c r="E26" s="68"/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8"/>
      <c r="E27" s="68"/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8"/>
      <c r="E28" s="68"/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8"/>
      <c r="E29" s="68"/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8"/>
      <c r="E30" s="68"/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8"/>
      <c r="E31" s="68"/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8"/>
      <c r="E32" s="68"/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8"/>
      <c r="E33" s="68"/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9"/>
      <c r="E34" s="69"/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9"/>
      <c r="E35" s="69"/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9"/>
      <c r="E36" s="69"/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9"/>
      <c r="E37" s="69"/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9"/>
      <c r="E38" s="69"/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9"/>
      <c r="E39" s="69"/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9"/>
      <c r="E40" s="69"/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9"/>
      <c r="E41" s="69"/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9"/>
      <c r="E42" s="69"/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9"/>
      <c r="E43" s="69"/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9"/>
      <c r="E44" s="69"/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9"/>
      <c r="E45" s="69"/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9"/>
      <c r="E46" s="69"/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9"/>
      <c r="E47" s="69"/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9"/>
      <c r="E48" s="69"/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9"/>
      <c r="E49" s="69"/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9"/>
      <c r="E50" s="69"/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9"/>
      <c r="E51" s="69"/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9"/>
      <c r="E52" s="69"/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9"/>
      <c r="E53" s="69"/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9"/>
      <c r="E54" s="69"/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9"/>
      <c r="E55" s="69"/>
    </row>
    <row r="57" ht="35.25" customHeight="1"/>
    <row r="58">
      <c r="B58" s="100" t="str">
        <f>"Professor(a): "&amp;Capa!G35</f>
        <v>Professor(a): ITAMAR VIEIRA NUNES</v>
      </c>
      <c r="D58" s="101" t="s">
        <v>75</v>
      </c>
    </row>
    <row r="59">
      <c r="D59" s="9" t="s">
        <v>76</v>
      </c>
    </row>
  </sheetData>
  <mergeCells count="7">
    <mergeCell ref="A1:C2"/>
    <mergeCell ref="D1:E2"/>
    <mergeCell ref="A3:A5"/>
    <mergeCell ref="B3:B4"/>
    <mergeCell ref="C3:C5"/>
    <mergeCell ref="D3:D5"/>
    <mergeCell ref="E3:E5"/>
  </mergeCells>
  <printOptions horizontalCentered="1"/>
  <pageMargins bottom="0.19685039370078738" footer="0.0" header="0.0" left="0.19685039370078738" right="0.19685039370078738" top="0.48339471678943363"/>
  <pageSetup paperSize="9" cellComments="atEnd" orientation="portrait" pageOrder="overThenDown"/>
  <colBreaks count="2" manualBreakCount="2">
    <brk man="1"/>
    <brk id="5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3.88"/>
    <col customWidth="1" min="2" max="2" width="35.25"/>
    <col customWidth="1" min="3" max="3" width="13.38"/>
    <col customWidth="1" min="4" max="4" width="8.63"/>
    <col customWidth="1" min="5" max="6" width="4.88"/>
    <col customWidth="1" min="7" max="7" width="4.38"/>
    <col customWidth="1" min="8" max="8" width="4.63"/>
    <col customWidth="1" min="9" max="9" width="10.88"/>
    <col customWidth="1" min="10" max="10" width="17.38"/>
  </cols>
  <sheetData>
    <row r="1">
      <c r="A1" s="105" t="str">
        <f>Capa!$C$38&amp;Capa!K38&amp;"    1° Semestre"</f>
        <v>Componente Curricular:     1° Semestre</v>
      </c>
      <c r="D1" s="106" t="str">
        <f>"Ano: "&amp;Capa!F30&amp;"     Turma: "&amp;Capa!N30&amp;"       Turno: "&amp;Capa!F32&amp;"    Ano Letivo: "&amp;Capa!O32&amp;"    "</f>
        <v>Ano: 2°     Turma: D       Turno: Vespertino    Ano Letivo: 2026    </v>
      </c>
    </row>
    <row r="2">
      <c r="D2" s="107" t="str">
        <f>"Professor(a): "&amp;Capa!G35</f>
        <v>Professor(a): ITAMAR VIEIRA NUNES</v>
      </c>
    </row>
    <row r="3">
      <c r="A3" s="106" t="s">
        <v>77</v>
      </c>
      <c r="D3" s="108" t="s">
        <v>78</v>
      </c>
    </row>
    <row r="4" ht="78.0" customHeight="1">
      <c r="A4" s="109" t="s">
        <v>79</v>
      </c>
      <c r="B4" s="110" t="s">
        <v>61</v>
      </c>
      <c r="C4" s="111" t="s">
        <v>80</v>
      </c>
      <c r="D4" s="112" t="s">
        <v>81</v>
      </c>
      <c r="E4" s="113" t="s">
        <v>82</v>
      </c>
      <c r="F4" s="113" t="s">
        <v>83</v>
      </c>
      <c r="G4" s="113" t="s">
        <v>84</v>
      </c>
      <c r="H4" s="113" t="s">
        <v>85</v>
      </c>
      <c r="I4" s="114" t="s">
        <v>86</v>
      </c>
      <c r="J4" s="115" t="s">
        <v>87</v>
      </c>
    </row>
    <row r="5">
      <c r="A5" s="116">
        <v>1.0</v>
      </c>
      <c r="B5" s="49" t="str">
        <f>'Secret. Escolar'!$B$6</f>
        <v>Adriana Sofia Gonzalez Torres</v>
      </c>
      <c r="C5" s="50" t="str">
        <f>'Secret. Escolar'!$C$6</f>
        <v/>
      </c>
      <c r="D5" s="117"/>
      <c r="E5" s="118"/>
      <c r="F5" s="118"/>
      <c r="G5" s="118"/>
      <c r="H5" s="118"/>
      <c r="I5" s="119" t="str">
        <f t="shared" ref="I5:I46" si="1">IFERROR(G5/(H5*H5), "")</f>
        <v/>
      </c>
      <c r="J5" s="120" t="str">
        <f t="array" ref="J5">IFERROR(IF(I5 &lt; INDEX('Referência'!$B$2:$B$21, MATCH(F5&amp;E5, 'Referência'!$A$2:$A$21, 0)), "Abaixo do peso", IF(I5 &lt; INDEX('Referência'!$C$2:$C$21, MATCH(F5&amp;E5, 'Referência'!$A$2:$A$21, 0)), "Normal", IF(I5 &lt; INDEX('Referência'!$D$2:$D$21, MATCH(F5&amp;E5, 'Referência'!$A$2:$A$21, 0)), "Sobrepeso", "Obesidade"))), "")</f>
        <v/>
      </c>
    </row>
    <row r="6">
      <c r="A6" s="116">
        <v>2.0</v>
      </c>
      <c r="B6" s="49" t="str">
        <f>'Secret. Escolar'!$B$7</f>
        <v>Alyson Lucas de Sousa Alencar</v>
      </c>
      <c r="C6" s="49" t="str">
        <f>'Secret. Escolar'!$C$7</f>
        <v/>
      </c>
      <c r="D6" s="121"/>
      <c r="E6" s="118"/>
      <c r="F6" s="118"/>
      <c r="G6" s="118"/>
      <c r="H6" s="118"/>
      <c r="I6" s="119" t="str">
        <f t="shared" si="1"/>
        <v/>
      </c>
      <c r="J6" s="120" t="str">
        <f t="array" ref="J6">IFERROR(IF(I6 &lt; INDEX('Referência'!$B$2:$B$21, MATCH(F6&amp;E6, 'Referência'!$A$2:$A$21, 0)), "Abaixo do peso", IF(I6 &lt; INDEX('Referência'!$C$2:$C$21, MATCH(F6&amp;E6, 'Referência'!$A$2:$A$21, 0)), "Normal", IF(I6 &lt; INDEX('Referência'!$D$2:$D$21, MATCH(F6&amp;E6, 'Referência'!$A$2:$A$21, 0)), "Sobrepeso", "Obesidade"))), "")</f>
        <v/>
      </c>
    </row>
    <row r="7">
      <c r="A7" s="116">
        <v>3.0</v>
      </c>
      <c r="B7" s="49" t="str">
        <f>'Secret. Escolar'!$B$8</f>
        <v>Ana Clara Silva Zanolim</v>
      </c>
      <c r="C7" s="49" t="str">
        <f>'Secret. Escolar'!$C$8</f>
        <v/>
      </c>
      <c r="D7" s="121"/>
      <c r="E7" s="118"/>
      <c r="F7" s="118"/>
      <c r="G7" s="118"/>
      <c r="H7" s="118"/>
      <c r="I7" s="119" t="str">
        <f t="shared" si="1"/>
        <v/>
      </c>
      <c r="J7" s="120" t="str">
        <f t="array" ref="J7">IFERROR(IF(I7 &lt; INDEX('Referência'!$B$2:$B$21, MATCH(F7&amp;E7, 'Referência'!$A$2:$A$21, 0)), "Abaixo do peso", IF(I7 &lt; INDEX('Referência'!$C$2:$C$21, MATCH(F7&amp;E7, 'Referência'!$A$2:$A$21, 0)), "Normal", IF(I7 &lt; INDEX('Referência'!$D$2:$D$21, MATCH(F7&amp;E7, 'Referência'!$A$2:$A$21, 0)), "Sobrepeso", "Obesidade"))), "")</f>
        <v/>
      </c>
    </row>
    <row r="8">
      <c r="A8" s="116">
        <v>4.0</v>
      </c>
      <c r="B8" s="49" t="str">
        <f>'Secret. Escolar'!$B$9</f>
        <v>Antônio Alves Pereira de Souza</v>
      </c>
      <c r="C8" s="49" t="str">
        <f>'Secret. Escolar'!$C$9</f>
        <v/>
      </c>
      <c r="D8" s="122"/>
      <c r="E8" s="123"/>
      <c r="F8" s="123"/>
      <c r="G8" s="124"/>
      <c r="H8" s="124"/>
      <c r="I8" s="119" t="str">
        <f t="shared" si="1"/>
        <v/>
      </c>
      <c r="J8" s="120" t="str">
        <f t="array" ref="J8">IFERROR(IF(I8 &lt; INDEX('Referência'!$B$2:$B$21, MATCH(F8&amp;E8, 'Referência'!$A$2:$A$21, 0)), "Abaixo do peso", IF(I8 &lt; INDEX('Referência'!$C$2:$C$21, MATCH(F8&amp;E8, 'Referência'!$A$2:$A$21, 0)), "Normal", IF(I8 &lt; INDEX('Referência'!$D$2:$D$21, MATCH(F8&amp;E8, 'Referência'!$A$2:$A$21, 0)), "Sobrepeso", "Obesidade"))), "")</f>
        <v/>
      </c>
    </row>
    <row r="9">
      <c r="A9" s="116">
        <v>5.0</v>
      </c>
      <c r="B9" s="49" t="str">
        <f>'Secret. Escolar'!$B$10</f>
        <v>Cecília Resende dos Santos</v>
      </c>
      <c r="C9" s="49" t="str">
        <f>'Secret. Escolar'!$C$10</f>
        <v/>
      </c>
      <c r="D9" s="121"/>
      <c r="E9" s="118"/>
      <c r="F9" s="118"/>
      <c r="G9" s="118"/>
      <c r="H9" s="118"/>
      <c r="I9" s="119" t="str">
        <f t="shared" si="1"/>
        <v/>
      </c>
      <c r="J9" s="120" t="str">
        <f t="array" ref="J9">IFERROR(IF(I9 &lt; INDEX('Referência'!$B$2:$B$21, MATCH(F9&amp;E9, 'Referência'!$A$2:$A$21, 0)), "Abaixo do peso", IF(I9 &lt; INDEX('Referência'!$C$2:$C$21, MATCH(F9&amp;E9, 'Referência'!$A$2:$A$21, 0)), "Normal", IF(I9 &lt; INDEX('Referência'!$D$2:$D$21, MATCH(F9&amp;E9, 'Referência'!$A$2:$A$21, 0)), "Sobrepeso", "Obesidade"))), "")</f>
        <v/>
      </c>
    </row>
    <row r="10">
      <c r="A10" s="116">
        <v>6.0</v>
      </c>
      <c r="B10" s="49" t="str">
        <f>'Secret. Escolar'!$B$11</f>
        <v>Emanuelly Vale da Silva</v>
      </c>
      <c r="C10" s="49" t="str">
        <f>'Secret. Escolar'!$C$11</f>
        <v/>
      </c>
      <c r="D10" s="121"/>
      <c r="E10" s="118"/>
      <c r="F10" s="118"/>
      <c r="G10" s="118"/>
      <c r="H10" s="118"/>
      <c r="I10" s="119" t="str">
        <f t="shared" si="1"/>
        <v/>
      </c>
      <c r="J10" s="120" t="str">
        <f t="array" ref="J10">IFERROR(IF(I10 &lt; INDEX('Referência'!$B$2:$B$21, MATCH(F10&amp;E10, 'Referência'!$A$2:$A$21, 0)), "Abaixo do peso", IF(I10 &lt; INDEX('Referência'!$C$2:$C$21, MATCH(F10&amp;E10, 'Referência'!$A$2:$A$21, 0)), "Normal", IF(I10 &lt; INDEX('Referência'!$D$2:$D$21, MATCH(F10&amp;E10, 'Referência'!$A$2:$A$21, 0)), "Sobrepeso", "Obesidade"))), "")</f>
        <v/>
      </c>
    </row>
    <row r="11">
      <c r="A11" s="116">
        <v>7.0</v>
      </c>
      <c r="B11" s="49" t="str">
        <f>'Secret. Escolar'!$B$12</f>
        <v>Glloria Vitorya Moreira do Vale</v>
      </c>
      <c r="C11" s="49" t="str">
        <f>'Secret. Escolar'!$C$12</f>
        <v/>
      </c>
      <c r="D11" s="121"/>
      <c r="E11" s="118"/>
      <c r="F11" s="118"/>
      <c r="G11" s="118"/>
      <c r="H11" s="118"/>
      <c r="I11" s="119" t="str">
        <f t="shared" si="1"/>
        <v/>
      </c>
      <c r="J11" s="120" t="str">
        <f t="array" ref="J11">IFERROR(IF(I11 &lt; INDEX('Referência'!$B$2:$B$21, MATCH(F11&amp;E11, 'Referência'!$A$2:$A$21, 0)), "Abaixo do peso", IF(I11 &lt; INDEX('Referência'!$C$2:$C$21, MATCH(F11&amp;E11, 'Referência'!$A$2:$A$21, 0)), "Normal", IF(I11 &lt; INDEX('Referência'!$D$2:$D$21, MATCH(F11&amp;E11, 'Referência'!$A$2:$A$21, 0)), "Sobrepeso", "Obesidade"))), "")</f>
        <v/>
      </c>
    </row>
    <row r="12">
      <c r="A12" s="116">
        <v>8.0</v>
      </c>
      <c r="B12" s="49" t="str">
        <f>'Secret. Escolar'!$B$13</f>
        <v>Izabelly Vitória Pereira Muniz</v>
      </c>
      <c r="C12" s="49" t="str">
        <f>'Secret. Escolar'!$C$13</f>
        <v/>
      </c>
      <c r="D12" s="121"/>
      <c r="E12" s="118"/>
      <c r="F12" s="118"/>
      <c r="G12" s="118"/>
      <c r="H12" s="118"/>
      <c r="I12" s="119" t="str">
        <f t="shared" si="1"/>
        <v/>
      </c>
      <c r="J12" s="120" t="str">
        <f t="array" ref="J12">IFERROR(IF(I12 &lt; INDEX('Referência'!$B$2:$B$21, MATCH(F12&amp;E12, 'Referência'!$A$2:$A$21, 0)), "Abaixo do peso", IF(I12 &lt; INDEX('Referência'!$C$2:$C$21, MATCH(F12&amp;E12, 'Referência'!$A$2:$A$21, 0)), "Normal", IF(I12 &lt; INDEX('Referência'!$D$2:$D$21, MATCH(F12&amp;E12, 'Referência'!$A$2:$A$21, 0)), "Sobrepeso", "Obesidade"))), "")</f>
        <v/>
      </c>
    </row>
    <row r="13">
      <c r="A13" s="116">
        <v>9.0</v>
      </c>
      <c r="B13" s="49" t="str">
        <f>'Secret. Escolar'!$B$14</f>
        <v>Kaleu Carneiro Mesquita Tavares</v>
      </c>
      <c r="C13" s="49" t="str">
        <f>'Secret. Escolar'!$C$14</f>
        <v/>
      </c>
      <c r="D13" s="121"/>
      <c r="E13" s="118"/>
      <c r="F13" s="118"/>
      <c r="G13" s="118"/>
      <c r="H13" s="118"/>
      <c r="I13" s="119" t="str">
        <f t="shared" si="1"/>
        <v/>
      </c>
      <c r="J13" s="120" t="str">
        <f t="array" ref="J13">IFERROR(IF(I13 &lt; INDEX('Referência'!$B$2:$B$21, MATCH(F13&amp;E13, 'Referência'!$A$2:$A$21, 0)), "Abaixo do peso", IF(I13 &lt; INDEX('Referência'!$C$2:$C$21, MATCH(F13&amp;E13, 'Referência'!$A$2:$A$21, 0)), "Normal", IF(I13 &lt; INDEX('Referência'!$D$2:$D$21, MATCH(F13&amp;E13, 'Referência'!$A$2:$A$21, 0)), "Sobrepeso", "Obesidade"))), "")</f>
        <v/>
      </c>
    </row>
    <row r="14">
      <c r="A14" s="116">
        <v>10.0</v>
      </c>
      <c r="B14" s="51" t="str">
        <f>'Secret. Escolar'!$B$15</f>
        <v>Lelimar Sofia Reyes Febres</v>
      </c>
      <c r="C14" s="49" t="str">
        <f>'Secret. Escolar'!$C$15</f>
        <v/>
      </c>
      <c r="D14" s="121"/>
      <c r="E14" s="118"/>
      <c r="F14" s="118"/>
      <c r="G14" s="118"/>
      <c r="H14" s="118"/>
      <c r="I14" s="119" t="str">
        <f t="shared" si="1"/>
        <v/>
      </c>
      <c r="J14" s="120" t="str">
        <f t="array" ref="J14">IFERROR(IF(I14 &lt; INDEX('Referência'!$B$2:$B$21, MATCH(F14&amp;E14, 'Referência'!$A$2:$A$21, 0)), "Abaixo do peso", IF(I14 &lt; INDEX('Referência'!$C$2:$C$21, MATCH(F14&amp;E14, 'Referência'!$A$2:$A$21, 0)), "Normal", IF(I14 &lt; INDEX('Referência'!$D$2:$D$21, MATCH(F14&amp;E14, 'Referência'!$A$2:$A$21, 0)), "Sobrepeso", "Obesidade"))), "")</f>
        <v/>
      </c>
    </row>
    <row r="15">
      <c r="A15" s="116">
        <v>11.0</v>
      </c>
      <c r="B15" s="49" t="str">
        <f>'Secret. Escolar'!$B$16</f>
        <v>Luiz Gustavo Rodrigues Carneiro</v>
      </c>
      <c r="C15" s="49" t="str">
        <f>'Secret. Escolar'!$C$16</f>
        <v/>
      </c>
      <c r="D15" s="121"/>
      <c r="E15" s="118"/>
      <c r="F15" s="118"/>
      <c r="G15" s="118"/>
      <c r="H15" s="118"/>
      <c r="I15" s="119" t="str">
        <f t="shared" si="1"/>
        <v/>
      </c>
      <c r="J15" s="120" t="str">
        <f t="array" ref="J15">IFERROR(IF(I15 &lt; INDEX('Referência'!$B$2:$B$21, MATCH(F15&amp;E15, 'Referência'!$A$2:$A$21, 0)), "Abaixo do peso", IF(I15 &lt; INDEX('Referência'!$C$2:$C$21, MATCH(F15&amp;E15, 'Referência'!$A$2:$A$21, 0)), "Normal", IF(I15 &lt; INDEX('Referência'!$D$2:$D$21, MATCH(F15&amp;E15, 'Referência'!$A$2:$A$21, 0)), "Sobrepeso", "Obesidade"))), "")</f>
        <v/>
      </c>
    </row>
    <row r="16">
      <c r="A16" s="116">
        <v>12.0</v>
      </c>
      <c r="B16" s="49" t="str">
        <f>'Secret. Escolar'!$B$17</f>
        <v>Luiz Otávio Santos de Sousa</v>
      </c>
      <c r="C16" s="49" t="str">
        <f>'Secret. Escolar'!$C$17</f>
        <v/>
      </c>
      <c r="D16" s="121"/>
      <c r="E16" s="118"/>
      <c r="F16" s="118"/>
      <c r="G16" s="118"/>
      <c r="H16" s="118"/>
      <c r="I16" s="119" t="str">
        <f t="shared" si="1"/>
        <v/>
      </c>
      <c r="J16" s="120" t="str">
        <f t="array" ref="J16">IFERROR(IF(I16 &lt; INDEX('Referência'!$B$2:$B$21, MATCH(F16&amp;E16, 'Referência'!$A$2:$A$21, 0)), "Abaixo do peso", IF(I16 &lt; INDEX('Referência'!$C$2:$C$21, MATCH(F16&amp;E16, 'Referência'!$A$2:$A$21, 0)), "Normal", IF(I16 &lt; INDEX('Referência'!$D$2:$D$21, MATCH(F16&amp;E16, 'Referência'!$A$2:$A$21, 0)), "Sobrepeso", "Obesidade"))), "")</f>
        <v/>
      </c>
    </row>
    <row r="17">
      <c r="A17" s="116">
        <v>13.0</v>
      </c>
      <c r="B17" s="49" t="str">
        <f>'Secret. Escolar'!$B$18</f>
        <v>Maria Valentina de Souza</v>
      </c>
      <c r="C17" s="49" t="str">
        <f>'Secret. Escolar'!$C$18</f>
        <v/>
      </c>
      <c r="D17" s="121"/>
      <c r="E17" s="118"/>
      <c r="F17" s="118"/>
      <c r="G17" s="118"/>
      <c r="H17" s="118"/>
      <c r="I17" s="119" t="str">
        <f t="shared" si="1"/>
        <v/>
      </c>
      <c r="J17" s="120" t="str">
        <f t="array" ref="J17">IFERROR(IF(I17 &lt; INDEX('Referência'!$B$2:$B$21, MATCH(F17&amp;E17, 'Referência'!$A$2:$A$21, 0)), "Abaixo do peso", IF(I17 &lt; INDEX('Referência'!$C$2:$C$21, MATCH(F17&amp;E17, 'Referência'!$A$2:$A$21, 0)), "Normal", IF(I17 &lt; INDEX('Referência'!$D$2:$D$21, MATCH(F17&amp;E17, 'Referência'!$A$2:$A$21, 0)), "Sobrepeso", "Obesidade"))), "")</f>
        <v/>
      </c>
    </row>
    <row r="18">
      <c r="A18" s="116">
        <v>14.0</v>
      </c>
      <c r="B18" s="49" t="str">
        <f>'Secret. Escolar'!$B$19</f>
        <v>Maysa Barros Caitano dos Santos</v>
      </c>
      <c r="C18" s="49" t="str">
        <f>'Secret. Escolar'!$C$19</f>
        <v/>
      </c>
      <c r="D18" s="117"/>
      <c r="E18" s="118"/>
      <c r="F18" s="118"/>
      <c r="G18" s="118"/>
      <c r="H18" s="118"/>
      <c r="I18" s="119" t="str">
        <f t="shared" si="1"/>
        <v/>
      </c>
      <c r="J18" s="120" t="str">
        <f t="array" ref="J18">IFERROR(IF(I18 &lt; INDEX('Referência'!$B$2:$B$21, MATCH(F18&amp;E18, 'Referência'!$A$2:$A$21, 0)), "Abaixo do peso", IF(I18 &lt; INDEX('Referência'!$C$2:$C$21, MATCH(F18&amp;E18, 'Referência'!$A$2:$A$21, 0)), "Normal", IF(I18 &lt; INDEX('Referência'!$D$2:$D$21, MATCH(F18&amp;E18, 'Referência'!$A$2:$A$21, 0)), "Sobrepeso", "Obesidade"))), "")</f>
        <v/>
      </c>
    </row>
    <row r="19">
      <c r="A19" s="116">
        <v>15.0</v>
      </c>
      <c r="B19" s="49" t="str">
        <f>'Secret. Escolar'!$B$20</f>
        <v>Melissa Oliveira Magalhães</v>
      </c>
      <c r="C19" s="49" t="str">
        <f>'Secret. Escolar'!$C$20</f>
        <v/>
      </c>
      <c r="D19" s="125"/>
      <c r="E19" s="118"/>
      <c r="F19" s="118"/>
      <c r="G19" s="118"/>
      <c r="H19" s="118"/>
      <c r="I19" s="119" t="str">
        <f t="shared" si="1"/>
        <v/>
      </c>
      <c r="J19" s="120" t="str">
        <f t="array" ref="J19">IFERROR(IF(I19 &lt; INDEX('Referência'!$B$2:$B$21, MATCH(F19&amp;E19, 'Referência'!$A$2:$A$21, 0)), "Abaixo do peso", IF(I19 &lt; INDEX('Referência'!$C$2:$C$21, MATCH(F19&amp;E19, 'Referência'!$A$2:$A$21, 0)), "Normal", IF(I19 &lt; INDEX('Referência'!$D$2:$D$21, MATCH(F19&amp;E19, 'Referência'!$A$2:$A$21, 0)), "Sobrepeso", "Obesidade"))), "")</f>
        <v/>
      </c>
    </row>
    <row r="20">
      <c r="A20" s="116">
        <v>16.0</v>
      </c>
      <c r="B20" s="49" t="str">
        <f>'Secret. Escolar'!$B$21</f>
        <v>Neilson de Oliveira Carneiro</v>
      </c>
      <c r="C20" s="49" t="str">
        <f>'Secret. Escolar'!$C$21</f>
        <v/>
      </c>
      <c r="D20" s="121"/>
      <c r="E20" s="118"/>
      <c r="F20" s="118"/>
      <c r="G20" s="118"/>
      <c r="H20" s="118"/>
      <c r="I20" s="119" t="str">
        <f t="shared" si="1"/>
        <v/>
      </c>
      <c r="J20" s="120" t="str">
        <f t="array" ref="J20">IFERROR(IF(I20 &lt; INDEX('Referência'!$B$2:$B$21, MATCH(F20&amp;E20, 'Referência'!$A$2:$A$21, 0)), "Abaixo do peso", IF(I20 &lt; INDEX('Referência'!$C$2:$C$21, MATCH(F20&amp;E20, 'Referência'!$A$2:$A$21, 0)), "Normal", IF(I20 &lt; INDEX('Referência'!$D$2:$D$21, MATCH(F20&amp;E20, 'Referência'!$A$2:$A$21, 0)), "Sobrepeso", "Obesidade"))), "")</f>
        <v/>
      </c>
    </row>
    <row r="21">
      <c r="A21" s="116">
        <v>17.0</v>
      </c>
      <c r="B21" s="49" t="str">
        <f>'Secret. Escolar'!$B$22</f>
        <v>Sarah Gabrielle Coelho Lopes</v>
      </c>
      <c r="C21" s="49" t="str">
        <f>'Secret. Escolar'!$C$22</f>
        <v/>
      </c>
      <c r="D21" s="121"/>
      <c r="E21" s="118"/>
      <c r="F21" s="118"/>
      <c r="G21" s="118"/>
      <c r="H21" s="118"/>
      <c r="I21" s="119" t="str">
        <f t="shared" si="1"/>
        <v/>
      </c>
      <c r="J21" s="120" t="str">
        <f t="array" ref="J21">IFERROR(IF(I21 &lt; INDEX('Referência'!$B$2:$B$21, MATCH(F21&amp;E21, 'Referência'!$A$2:$A$21, 0)), "Abaixo do peso", IF(I21 &lt; INDEX('Referência'!$C$2:$C$21, MATCH(F21&amp;E21, 'Referência'!$A$2:$A$21, 0)), "Normal", IF(I21 &lt; INDEX('Referência'!$D$2:$D$21, MATCH(F21&amp;E21, 'Referência'!$A$2:$A$21, 0)), "Sobrepeso", "Obesidade"))), "")</f>
        <v/>
      </c>
    </row>
    <row r="22">
      <c r="A22" s="116">
        <v>18.0</v>
      </c>
      <c r="B22" s="49" t="str">
        <f>'Secret. Escolar'!$B$23</f>
        <v>Sophia Pereira de Oliveira</v>
      </c>
      <c r="C22" s="49" t="str">
        <f>'Secret. Escolar'!$C$23</f>
        <v/>
      </c>
      <c r="D22" s="121"/>
      <c r="E22" s="118"/>
      <c r="F22" s="118"/>
      <c r="G22" s="118"/>
      <c r="H22" s="118"/>
      <c r="I22" s="119" t="str">
        <f t="shared" si="1"/>
        <v/>
      </c>
      <c r="J22" s="120" t="str">
        <f t="array" ref="J22">IFERROR(IF(I22 &lt; INDEX('Referência'!$B$2:$B$21, MATCH(F22&amp;E22, 'Referência'!$A$2:$A$21, 0)), "Abaixo do peso", IF(I22 &lt; INDEX('Referência'!$C$2:$C$21, MATCH(F22&amp;E22, 'Referência'!$A$2:$A$21, 0)), "Normal", IF(I22 &lt; INDEX('Referência'!$D$2:$D$21, MATCH(F22&amp;E22, 'Referência'!$A$2:$A$21, 0)), "Sobrepeso", "Obesidade"))), "")</f>
        <v/>
      </c>
    </row>
    <row r="23">
      <c r="A23" s="116">
        <v>19.0</v>
      </c>
      <c r="B23" s="49" t="str">
        <f>'Secret. Escolar'!$B$24</f>
        <v>Wuilmer Adrian Ramos Salazar</v>
      </c>
      <c r="C23" s="49" t="str">
        <f>'Secret. Escolar'!$C$24</f>
        <v/>
      </c>
      <c r="D23" s="121"/>
      <c r="E23" s="118"/>
      <c r="F23" s="118"/>
      <c r="G23" s="118"/>
      <c r="H23" s="118"/>
      <c r="I23" s="119" t="str">
        <f t="shared" si="1"/>
        <v/>
      </c>
      <c r="J23" s="120" t="str">
        <f t="array" ref="J23">IFERROR(IF(I23 &lt; INDEX('Referência'!$B$2:$B$21, MATCH(F23&amp;E23, 'Referência'!$A$2:$A$21, 0)), "Abaixo do peso", IF(I23 &lt; INDEX('Referência'!$C$2:$C$21, MATCH(F23&amp;E23, 'Referência'!$A$2:$A$21, 0)), "Normal", IF(I23 &lt; INDEX('Referência'!$D$2:$D$21, MATCH(F23&amp;E23, 'Referência'!$A$2:$A$21, 0)), "Sobrepeso", "Obesidade"))), "")</f>
        <v/>
      </c>
    </row>
    <row r="24">
      <c r="A24" s="116">
        <v>20.0</v>
      </c>
      <c r="B24" s="49" t="str">
        <f>'Secret. Escolar'!$B$25</f>
        <v/>
      </c>
      <c r="C24" s="49" t="str">
        <f>'Secret. Escolar'!$C$25</f>
        <v/>
      </c>
      <c r="D24" s="121"/>
      <c r="E24" s="118"/>
      <c r="F24" s="118"/>
      <c r="G24" s="118"/>
      <c r="H24" s="118"/>
      <c r="I24" s="119" t="str">
        <f t="shared" si="1"/>
        <v/>
      </c>
      <c r="J24" s="120" t="str">
        <f t="array" ref="J24">IFERROR(IF(I24 &lt; INDEX('Referência'!$B$2:$B$21, MATCH(F24&amp;E24, 'Referência'!$A$2:$A$21, 0)), "Abaixo do peso", IF(I24 &lt; INDEX('Referência'!$C$2:$C$21, MATCH(F24&amp;E24, 'Referência'!$A$2:$A$21, 0)), "Normal", IF(I24 &lt; INDEX('Referência'!$D$2:$D$21, MATCH(F24&amp;E24, 'Referência'!$A$2:$A$21, 0)), "Sobrepeso", "Obesidade"))), "")</f>
        <v/>
      </c>
    </row>
    <row r="25">
      <c r="A25" s="116">
        <v>21.0</v>
      </c>
      <c r="B25" s="49" t="str">
        <f>'Secret. Escolar'!$B$26</f>
        <v/>
      </c>
      <c r="C25" s="49" t="str">
        <f>'Secret. Escolar'!$C$26</f>
        <v/>
      </c>
      <c r="D25" s="121"/>
      <c r="E25" s="118"/>
      <c r="F25" s="118"/>
      <c r="G25" s="118"/>
      <c r="H25" s="118"/>
      <c r="I25" s="119" t="str">
        <f t="shared" si="1"/>
        <v/>
      </c>
      <c r="J25" s="120" t="str">
        <f t="array" ref="J25">IFERROR(IF(I25 &lt; INDEX('Referência'!$B$2:$B$21, MATCH(F25&amp;E25, 'Referência'!$A$2:$A$21, 0)), "Abaixo do peso", IF(I25 &lt; INDEX('Referência'!$C$2:$C$21, MATCH(F25&amp;E25, 'Referência'!$A$2:$A$21, 0)), "Normal", IF(I25 &lt; INDEX('Referência'!$D$2:$D$21, MATCH(F25&amp;E25, 'Referência'!$A$2:$A$21, 0)), "Sobrepeso", "Obesidade"))), "")</f>
        <v/>
      </c>
    </row>
    <row r="26">
      <c r="A26" s="116">
        <v>22.0</v>
      </c>
      <c r="B26" s="49" t="str">
        <f>'Secret. Escolar'!$B$27</f>
        <v/>
      </c>
      <c r="C26" s="49" t="str">
        <f>'Secret. Escolar'!$C$27</f>
        <v/>
      </c>
      <c r="D26" s="117"/>
      <c r="E26" s="118"/>
      <c r="F26" s="118"/>
      <c r="G26" s="118"/>
      <c r="H26" s="118"/>
      <c r="I26" s="119" t="str">
        <f t="shared" si="1"/>
        <v/>
      </c>
      <c r="J26" s="120" t="str">
        <f t="array" ref="J26">IFERROR(IF(I26 &lt; INDEX('Referência'!$B$2:$B$21, MATCH(F26&amp;E26, 'Referência'!$A$2:$A$21, 0)), "Abaixo do peso", IF(I26 &lt; INDEX('Referência'!$C$2:$C$21, MATCH(F26&amp;E26, 'Referência'!$A$2:$A$21, 0)), "Normal", IF(I26 &lt; INDEX('Referência'!$D$2:$D$21, MATCH(F26&amp;E26, 'Referência'!$A$2:$A$21, 0)), "Sobrepeso", "Obesidade"))), "")</f>
        <v/>
      </c>
    </row>
    <row r="27">
      <c r="A27" s="116">
        <v>23.0</v>
      </c>
      <c r="B27" s="49" t="str">
        <f>'Secret. Escolar'!$B$28</f>
        <v/>
      </c>
      <c r="C27" s="49" t="str">
        <f>'Secret. Escolar'!$C$28</f>
        <v/>
      </c>
      <c r="D27" s="121"/>
      <c r="E27" s="118"/>
      <c r="F27" s="118"/>
      <c r="G27" s="118"/>
      <c r="H27" s="118"/>
      <c r="I27" s="119" t="str">
        <f t="shared" si="1"/>
        <v/>
      </c>
      <c r="J27" s="120" t="str">
        <f t="array" ref="J27">IFERROR(IF(I27 &lt; INDEX('Referência'!$B$2:$B$21, MATCH(F27&amp;E27, 'Referência'!$A$2:$A$21, 0)), "Abaixo do peso", IF(I27 &lt; INDEX('Referência'!$C$2:$C$21, MATCH(F27&amp;E27, 'Referência'!$A$2:$A$21, 0)), "Normal", IF(I27 &lt; INDEX('Referência'!$D$2:$D$21, MATCH(F27&amp;E27, 'Referência'!$A$2:$A$21, 0)), "Sobrepeso", "Obesidade"))), "")</f>
        <v/>
      </c>
    </row>
    <row r="28">
      <c r="A28" s="116">
        <v>24.0</v>
      </c>
      <c r="B28" s="49" t="str">
        <f>'Secret. Escolar'!$B$29</f>
        <v/>
      </c>
      <c r="C28" s="49" t="str">
        <f>'Secret. Escolar'!$C$29</f>
        <v/>
      </c>
      <c r="D28" s="121"/>
      <c r="E28" s="118"/>
      <c r="F28" s="118"/>
      <c r="G28" s="118"/>
      <c r="H28" s="118"/>
      <c r="I28" s="119" t="str">
        <f t="shared" si="1"/>
        <v/>
      </c>
      <c r="J28" s="120" t="str">
        <f t="array" ref="J28">IFERROR(IF(I28 &lt; INDEX('Referência'!$B$2:$B$21, MATCH(F28&amp;E28, 'Referência'!$A$2:$A$21, 0)), "Abaixo do peso", IF(I28 &lt; INDEX('Referência'!$C$2:$C$21, MATCH(F28&amp;E28, 'Referência'!$A$2:$A$21, 0)), "Normal", IF(I28 &lt; INDEX('Referência'!$D$2:$D$21, MATCH(F28&amp;E28, 'Referência'!$A$2:$A$21, 0)), "Sobrepeso", "Obesidade"))), "")</f>
        <v/>
      </c>
    </row>
    <row r="29">
      <c r="A29" s="116">
        <v>25.0</v>
      </c>
      <c r="B29" s="49" t="str">
        <f>'Secret. Escolar'!$B$30</f>
        <v/>
      </c>
      <c r="C29" s="49" t="str">
        <f>'Secret. Escolar'!$C$30</f>
        <v/>
      </c>
      <c r="D29" s="121"/>
      <c r="E29" s="118"/>
      <c r="F29" s="118"/>
      <c r="G29" s="118"/>
      <c r="H29" s="118"/>
      <c r="I29" s="119" t="str">
        <f t="shared" si="1"/>
        <v/>
      </c>
      <c r="J29" s="120" t="str">
        <f t="array" ref="J29">IFERROR(IF(I29 &lt; INDEX('Referência'!$B$2:$B$21, MATCH(F29&amp;E29, 'Referência'!$A$2:$A$21, 0)), "Abaixo do peso", IF(I29 &lt; INDEX('Referência'!$C$2:$C$21, MATCH(F29&amp;E29, 'Referência'!$A$2:$A$21, 0)), "Normal", IF(I29 &lt; INDEX('Referência'!$D$2:$D$21, MATCH(F29&amp;E29, 'Referência'!$A$2:$A$21, 0)), "Sobrepeso", "Obesidade"))), "")</f>
        <v/>
      </c>
    </row>
    <row r="30">
      <c r="A30" s="116">
        <v>26.0</v>
      </c>
      <c r="B30" s="49" t="str">
        <f>'Secret. Escolar'!$B$31</f>
        <v/>
      </c>
      <c r="C30" s="49" t="str">
        <f>'Secret. Escolar'!$C$31</f>
        <v/>
      </c>
      <c r="D30" s="121"/>
      <c r="E30" s="118"/>
      <c r="F30" s="118"/>
      <c r="G30" s="118"/>
      <c r="H30" s="118"/>
      <c r="I30" s="119" t="str">
        <f t="shared" si="1"/>
        <v/>
      </c>
      <c r="J30" s="120" t="str">
        <f t="array" ref="J30">IFERROR(IF(I30 &lt; INDEX('Referência'!$B$2:$B$21, MATCH(F30&amp;E30, 'Referência'!$A$2:$A$21, 0)), "Abaixo do peso", IF(I30 &lt; INDEX('Referência'!$C$2:$C$21, MATCH(F30&amp;E30, 'Referência'!$A$2:$A$21, 0)), "Normal", IF(I30 &lt; INDEX('Referência'!$D$2:$D$21, MATCH(F30&amp;E30, 'Referência'!$A$2:$A$21, 0)), "Sobrepeso", "Obesidade"))), "")</f>
        <v/>
      </c>
    </row>
    <row r="31">
      <c r="A31" s="116">
        <v>27.0</v>
      </c>
      <c r="B31" s="49" t="str">
        <f>'Secret. Escolar'!$B$32</f>
        <v/>
      </c>
      <c r="C31" s="49" t="str">
        <f>'Secret. Escolar'!$C$32</f>
        <v/>
      </c>
      <c r="D31" s="121"/>
      <c r="E31" s="118"/>
      <c r="F31" s="118"/>
      <c r="G31" s="118"/>
      <c r="H31" s="118"/>
      <c r="I31" s="119" t="str">
        <f t="shared" si="1"/>
        <v/>
      </c>
      <c r="J31" s="120" t="str">
        <f t="array" ref="J31">IFERROR(IF(I31 &lt; INDEX('Referência'!$B$2:$B$21, MATCH(F31&amp;E31, 'Referência'!$A$2:$A$21, 0)), "Abaixo do peso", IF(I31 &lt; INDEX('Referência'!$C$2:$C$21, MATCH(F31&amp;E31, 'Referência'!$A$2:$A$21, 0)), "Normal", IF(I31 &lt; INDEX('Referência'!$D$2:$D$21, MATCH(F31&amp;E31, 'Referência'!$A$2:$A$21, 0)), "Sobrepeso", "Obesidade"))), "")</f>
        <v/>
      </c>
    </row>
    <row r="32">
      <c r="A32" s="116">
        <v>28.0</v>
      </c>
      <c r="B32" s="49" t="str">
        <f>'Secret. Escolar'!$B$33</f>
        <v/>
      </c>
      <c r="C32" s="49" t="str">
        <f>'Secret. Escolar'!$C$33</f>
        <v/>
      </c>
      <c r="D32" s="121"/>
      <c r="E32" s="118"/>
      <c r="F32" s="118"/>
      <c r="G32" s="118"/>
      <c r="H32" s="118"/>
      <c r="I32" s="119" t="str">
        <f t="shared" si="1"/>
        <v/>
      </c>
      <c r="J32" s="120" t="str">
        <f t="array" ref="J32">IFERROR(IF(I32 &lt; INDEX('Referência'!$B$2:$B$21, MATCH(F32&amp;E32, 'Referência'!$A$2:$A$21, 0)), "Abaixo do peso", IF(I32 &lt; INDEX('Referência'!$C$2:$C$21, MATCH(F32&amp;E32, 'Referência'!$A$2:$A$21, 0)), "Normal", IF(I32 &lt; INDEX('Referência'!$D$2:$D$21, MATCH(F32&amp;E32, 'Referência'!$A$2:$A$21, 0)), "Sobrepeso", "Obesidade"))), "")</f>
        <v/>
      </c>
    </row>
    <row r="33">
      <c r="A33" s="116">
        <v>29.0</v>
      </c>
      <c r="B33" s="49" t="str">
        <f>'Secret. Escolar'!$B$34</f>
        <v/>
      </c>
      <c r="C33" s="49" t="str">
        <f>'Secret. Escolar'!$C$34</f>
        <v/>
      </c>
      <c r="D33" s="126"/>
      <c r="E33" s="127"/>
      <c r="F33" s="127"/>
      <c r="G33" s="128"/>
      <c r="H33" s="128"/>
      <c r="I33" s="119" t="str">
        <f t="shared" si="1"/>
        <v/>
      </c>
      <c r="J33" s="120" t="str">
        <f t="array" ref="J33">IFERROR(IF(I33 &lt; INDEX('Referência'!$B$2:$B$21, MATCH(F33&amp;E33, 'Referência'!$A$2:$A$21, 0)), "Abaixo do peso", IF(I33 &lt; INDEX('Referência'!$C$2:$C$21, MATCH(F33&amp;E33, 'Referência'!$A$2:$A$21, 0)), "Normal", IF(I33 &lt; INDEX('Referência'!$D$2:$D$21, MATCH(F33&amp;E33, 'Referência'!$A$2:$A$21, 0)), "Sobrepeso", "Obesidade"))), "")</f>
        <v/>
      </c>
    </row>
    <row r="34">
      <c r="A34" s="116">
        <v>30.0</v>
      </c>
      <c r="B34" s="49" t="str">
        <f>'Secret. Escolar'!$B$35</f>
        <v/>
      </c>
      <c r="C34" s="49" t="str">
        <f>'Secret. Escolar'!$C$35</f>
        <v/>
      </c>
      <c r="D34" s="126"/>
      <c r="E34" s="127"/>
      <c r="F34" s="127"/>
      <c r="G34" s="128"/>
      <c r="H34" s="128"/>
      <c r="I34" s="119" t="str">
        <f t="shared" si="1"/>
        <v/>
      </c>
      <c r="J34" s="120" t="str">
        <f t="array" ref="J34">IFERROR(IF(I34 &lt; INDEX('Referência'!$B$2:$B$21, MATCH(F34&amp;E34, 'Referência'!$A$2:$A$21, 0)), "Abaixo do peso", IF(I34 &lt; INDEX('Referência'!$C$2:$C$21, MATCH(F34&amp;E34, 'Referência'!$A$2:$A$21, 0)), "Normal", IF(I34 &lt; INDEX('Referência'!$D$2:$D$21, MATCH(F34&amp;E34, 'Referência'!$A$2:$A$21, 0)), "Sobrepeso", "Obesidade"))), "")</f>
        <v/>
      </c>
    </row>
    <row r="35">
      <c r="A35" s="116">
        <v>31.0</v>
      </c>
      <c r="B35" s="49" t="str">
        <f>'Secret. Escolar'!$B$36</f>
        <v/>
      </c>
      <c r="C35" s="49" t="str">
        <f>'Secret. Escolar'!$C$36</f>
        <v/>
      </c>
      <c r="D35" s="126"/>
      <c r="E35" s="127"/>
      <c r="F35" s="127"/>
      <c r="G35" s="128"/>
      <c r="H35" s="128"/>
      <c r="I35" s="119" t="str">
        <f t="shared" si="1"/>
        <v/>
      </c>
      <c r="J35" s="120" t="str">
        <f t="array" ref="J35">IFERROR(IF(I35 &lt; INDEX('Referência'!$B$2:$B$21, MATCH(F35&amp;E35, 'Referência'!$A$2:$A$21, 0)), "Abaixo do peso", IF(I35 &lt; INDEX('Referência'!$C$2:$C$21, MATCH(F35&amp;E35, 'Referência'!$A$2:$A$21, 0)), "Normal", IF(I35 &lt; INDEX('Referência'!$D$2:$D$21, MATCH(F35&amp;E35, 'Referência'!$A$2:$A$21, 0)), "Sobrepeso", "Obesidade"))), "")</f>
        <v/>
      </c>
    </row>
    <row r="36">
      <c r="A36" s="116">
        <v>32.0</v>
      </c>
      <c r="B36" s="49" t="str">
        <f>'Secret. Escolar'!$B$37</f>
        <v/>
      </c>
      <c r="C36" s="49" t="str">
        <f>'Secret. Escolar'!$C$37</f>
        <v/>
      </c>
      <c r="D36" s="126"/>
      <c r="E36" s="127"/>
      <c r="F36" s="127"/>
      <c r="G36" s="128"/>
      <c r="H36" s="128"/>
      <c r="I36" s="119" t="str">
        <f t="shared" si="1"/>
        <v/>
      </c>
      <c r="J36" s="120" t="str">
        <f t="array" ref="J36">IFERROR(IF(I36 &lt; INDEX('Referência'!$B$2:$B$21, MATCH(F36&amp;E36, 'Referência'!$A$2:$A$21, 0)), "Abaixo do peso", IF(I36 &lt; INDEX('Referência'!$C$2:$C$21, MATCH(F36&amp;E36, 'Referência'!$A$2:$A$21, 0)), "Normal", IF(I36 &lt; INDEX('Referência'!$D$2:$D$21, MATCH(F36&amp;E36, 'Referência'!$A$2:$A$21, 0)), "Sobrepeso", "Obesidade"))), "")</f>
        <v/>
      </c>
    </row>
    <row r="37">
      <c r="A37" s="116">
        <v>33.0</v>
      </c>
      <c r="B37" s="49" t="str">
        <f>'Secret. Escolar'!$B$38</f>
        <v/>
      </c>
      <c r="C37" s="49" t="str">
        <f>'Secret. Escolar'!$C$38</f>
        <v/>
      </c>
      <c r="D37" s="126"/>
      <c r="E37" s="127"/>
      <c r="F37" s="127"/>
      <c r="G37" s="128"/>
      <c r="H37" s="128"/>
      <c r="I37" s="119" t="str">
        <f t="shared" si="1"/>
        <v/>
      </c>
      <c r="J37" s="120" t="str">
        <f t="array" ref="J37">IFERROR(IF(I37 &lt; INDEX('Referência'!$B$2:$B$21, MATCH(F37&amp;E37, 'Referência'!$A$2:$A$21, 0)), "Abaixo do peso", IF(I37 &lt; INDEX('Referência'!$C$2:$C$21, MATCH(F37&amp;E37, 'Referência'!$A$2:$A$21, 0)), "Normal", IF(I37 &lt; INDEX('Referência'!$D$2:$D$21, MATCH(F37&amp;E37, 'Referência'!$A$2:$A$21, 0)), "Sobrepeso", "Obesidade"))), "")</f>
        <v/>
      </c>
    </row>
    <row r="38">
      <c r="A38" s="116">
        <v>34.0</v>
      </c>
      <c r="B38" s="49" t="str">
        <f>'Secret. Escolar'!$B$39</f>
        <v/>
      </c>
      <c r="C38" s="49" t="str">
        <f>'Secret. Escolar'!$C$39</f>
        <v/>
      </c>
      <c r="D38" s="126"/>
      <c r="E38" s="127"/>
      <c r="F38" s="127"/>
      <c r="G38" s="128"/>
      <c r="H38" s="128"/>
      <c r="I38" s="119" t="str">
        <f t="shared" si="1"/>
        <v/>
      </c>
      <c r="J38" s="120" t="str">
        <f t="array" ref="J38">IFERROR(IF(I38 &lt; INDEX('Referência'!$B$2:$B$21, MATCH(F38&amp;E38, 'Referência'!$A$2:$A$21, 0)), "Abaixo do peso", IF(I38 &lt; INDEX('Referência'!$C$2:$C$21, MATCH(F38&amp;E38, 'Referência'!$A$2:$A$21, 0)), "Normal", IF(I38 &lt; INDEX('Referência'!$D$2:$D$21, MATCH(F38&amp;E38, 'Referência'!$A$2:$A$21, 0)), "Sobrepeso", "Obesidade"))), "")</f>
        <v/>
      </c>
    </row>
    <row r="39">
      <c r="A39" s="116">
        <v>35.0</v>
      </c>
      <c r="B39" s="49" t="str">
        <f>'Secret. Escolar'!$B$40</f>
        <v/>
      </c>
      <c r="C39" s="49" t="str">
        <f>'Secret. Escolar'!$C$40</f>
        <v/>
      </c>
      <c r="D39" s="126"/>
      <c r="E39" s="127"/>
      <c r="F39" s="127"/>
      <c r="G39" s="128"/>
      <c r="H39" s="128"/>
      <c r="I39" s="119" t="str">
        <f t="shared" si="1"/>
        <v/>
      </c>
      <c r="J39" s="120" t="str">
        <f t="array" ref="J39">IFERROR(IF(I39 &lt; INDEX('Referência'!$B$2:$B$21, MATCH(F39&amp;E39, 'Referência'!$A$2:$A$21, 0)), "Abaixo do peso", IF(I39 &lt; INDEX('Referência'!$C$2:$C$21, MATCH(F39&amp;E39, 'Referência'!$A$2:$A$21, 0)), "Normal", IF(I39 &lt; INDEX('Referência'!$D$2:$D$21, MATCH(F39&amp;E39, 'Referência'!$A$2:$A$21, 0)), "Sobrepeso", "Obesidade"))), "")</f>
        <v/>
      </c>
    </row>
    <row r="40">
      <c r="A40" s="116">
        <v>36.0</v>
      </c>
      <c r="B40" s="49" t="str">
        <f>'Secret. Escolar'!$B$41</f>
        <v/>
      </c>
      <c r="C40" s="49" t="str">
        <f>'Secret. Escolar'!$C$41</f>
        <v/>
      </c>
      <c r="D40" s="126"/>
      <c r="E40" s="127"/>
      <c r="F40" s="127"/>
      <c r="G40" s="128"/>
      <c r="H40" s="128"/>
      <c r="I40" s="119" t="str">
        <f t="shared" si="1"/>
        <v/>
      </c>
      <c r="J40" s="120" t="str">
        <f t="array" ref="J40">IFERROR(IF(I40 &lt; INDEX('Referência'!$B$2:$B$21, MATCH(F40&amp;E40, 'Referência'!$A$2:$A$21, 0)), "Abaixo do peso", IF(I40 &lt; INDEX('Referência'!$C$2:$C$21, MATCH(F40&amp;E40, 'Referência'!$A$2:$A$21, 0)), "Normal", IF(I40 &lt; INDEX('Referência'!$D$2:$D$21, MATCH(F40&amp;E40, 'Referência'!$A$2:$A$21, 0)), "Sobrepeso", "Obesidade"))), "")</f>
        <v/>
      </c>
    </row>
    <row r="41">
      <c r="A41" s="116">
        <v>37.0</v>
      </c>
      <c r="B41" s="49" t="str">
        <f>'Secret. Escolar'!$B$42</f>
        <v/>
      </c>
      <c r="C41" s="49" t="str">
        <f>'Secret. Escolar'!$C$42</f>
        <v/>
      </c>
      <c r="D41" s="126"/>
      <c r="E41" s="127"/>
      <c r="F41" s="127"/>
      <c r="G41" s="128"/>
      <c r="H41" s="128"/>
      <c r="I41" s="119" t="str">
        <f t="shared" si="1"/>
        <v/>
      </c>
      <c r="J41" s="120" t="str">
        <f t="array" ref="J41">IFERROR(IF(I41 &lt; INDEX('Referência'!$B$2:$B$21, MATCH(F41&amp;E41, 'Referência'!$A$2:$A$21, 0)), "Abaixo do peso", IF(I41 &lt; INDEX('Referência'!$C$2:$C$21, MATCH(F41&amp;E41, 'Referência'!$A$2:$A$21, 0)), "Normal", IF(I41 &lt; INDEX('Referência'!$D$2:$D$21, MATCH(F41&amp;E41, 'Referência'!$A$2:$A$21, 0)), "Sobrepeso", "Obesidade"))), "")</f>
        <v/>
      </c>
    </row>
    <row r="42">
      <c r="A42" s="116">
        <v>38.0</v>
      </c>
      <c r="B42" s="49" t="str">
        <f>'Secret. Escolar'!$B$43</f>
        <v/>
      </c>
      <c r="C42" s="49" t="str">
        <f>'Secret. Escolar'!$C$43</f>
        <v/>
      </c>
      <c r="D42" s="126"/>
      <c r="E42" s="127"/>
      <c r="F42" s="127"/>
      <c r="G42" s="128"/>
      <c r="H42" s="128"/>
      <c r="I42" s="119" t="str">
        <f t="shared" si="1"/>
        <v/>
      </c>
      <c r="J42" s="120" t="str">
        <f t="array" ref="J42">IFERROR(IF(I42 &lt; INDEX('Referência'!$B$2:$B$21, MATCH(F42&amp;E42, 'Referência'!$A$2:$A$21, 0)), "Abaixo do peso", IF(I42 &lt; INDEX('Referência'!$C$2:$C$21, MATCH(F42&amp;E42, 'Referência'!$A$2:$A$21, 0)), "Normal", IF(I42 &lt; INDEX('Referência'!$D$2:$D$21, MATCH(F42&amp;E42, 'Referência'!$A$2:$A$21, 0)), "Sobrepeso", "Obesidade"))), "")</f>
        <v/>
      </c>
    </row>
    <row r="43">
      <c r="A43" s="116">
        <v>39.0</v>
      </c>
      <c r="B43" s="49" t="str">
        <f>'Secret. Escolar'!$B$44</f>
        <v/>
      </c>
      <c r="C43" s="49" t="str">
        <f>'Secret. Escolar'!$C$44</f>
        <v/>
      </c>
      <c r="D43" s="126"/>
      <c r="E43" s="127"/>
      <c r="F43" s="127"/>
      <c r="G43" s="128"/>
      <c r="H43" s="128"/>
      <c r="I43" s="119" t="str">
        <f t="shared" si="1"/>
        <v/>
      </c>
      <c r="J43" s="120" t="str">
        <f t="array" ref="J43">IFERROR(IF(I43 &lt; INDEX('Referência'!$B$2:$B$21, MATCH(F43&amp;E43, 'Referência'!$A$2:$A$21, 0)), "Abaixo do peso", IF(I43 &lt; INDEX('Referência'!$C$2:$C$21, MATCH(F43&amp;E43, 'Referência'!$A$2:$A$21, 0)), "Normal", IF(I43 &lt; INDEX('Referência'!$D$2:$D$21, MATCH(F43&amp;E43, 'Referência'!$A$2:$A$21, 0)), "Sobrepeso", "Obesidade"))), "")</f>
        <v/>
      </c>
    </row>
    <row r="44">
      <c r="A44" s="116">
        <v>40.0</v>
      </c>
      <c r="B44" s="49" t="str">
        <f>'Secret. Escolar'!$B$45</f>
        <v/>
      </c>
      <c r="C44" s="49" t="str">
        <f>'Secret. Escolar'!$C$45</f>
        <v/>
      </c>
      <c r="D44" s="126"/>
      <c r="E44" s="127"/>
      <c r="F44" s="127"/>
      <c r="G44" s="128"/>
      <c r="H44" s="128"/>
      <c r="I44" s="119" t="str">
        <f t="shared" si="1"/>
        <v/>
      </c>
      <c r="J44" s="120" t="str">
        <f t="array" ref="J44">IFERROR(IF(I44 &lt; INDEX('Referência'!$B$2:$B$21, MATCH(F44&amp;E44, 'Referência'!$A$2:$A$21, 0)), "Abaixo do peso", IF(I44 &lt; INDEX('Referência'!$C$2:$C$21, MATCH(F44&amp;E44, 'Referência'!$A$2:$A$21, 0)), "Normal", IF(I44 &lt; INDEX('Referência'!$D$2:$D$21, MATCH(F44&amp;E44, 'Referência'!$A$2:$A$21, 0)), "Sobrepeso", "Obesidade"))), "")</f>
        <v/>
      </c>
    </row>
    <row r="45">
      <c r="A45" s="116">
        <v>41.0</v>
      </c>
      <c r="B45" s="49" t="str">
        <f>'Secret. Escolar'!$B$46</f>
        <v/>
      </c>
      <c r="C45" s="49" t="str">
        <f>'Secret. Escolar'!$C$46</f>
        <v/>
      </c>
      <c r="D45" s="126"/>
      <c r="E45" s="127"/>
      <c r="F45" s="127"/>
      <c r="G45" s="128"/>
      <c r="H45" s="128"/>
      <c r="I45" s="119" t="str">
        <f t="shared" si="1"/>
        <v/>
      </c>
      <c r="J45" s="120" t="str">
        <f t="array" ref="J45">IFERROR(IF(I45 &lt; INDEX('Referência'!$B$2:$B$21, MATCH(F45&amp;E45, 'Referência'!$A$2:$A$21, 0)), "Abaixo do peso", IF(I45 &lt; INDEX('Referência'!$C$2:$C$21, MATCH(F45&amp;E45, 'Referência'!$A$2:$A$21, 0)), "Normal", IF(I45 &lt; INDEX('Referência'!$D$2:$D$21, MATCH(F45&amp;E45, 'Referência'!$A$2:$A$21, 0)), "Sobrepeso", "Obesidade"))), "")</f>
        <v/>
      </c>
    </row>
    <row r="46">
      <c r="A46" s="116">
        <v>42.0</v>
      </c>
      <c r="B46" s="49" t="str">
        <f>'Secret. Escolar'!$B$47</f>
        <v/>
      </c>
      <c r="C46" s="49" t="str">
        <f>'Secret. Escolar'!$C$47</f>
        <v/>
      </c>
      <c r="D46" s="126"/>
      <c r="E46" s="127"/>
      <c r="F46" s="127"/>
      <c r="G46" s="128"/>
      <c r="H46" s="128"/>
      <c r="I46" s="119" t="str">
        <f t="shared" si="1"/>
        <v/>
      </c>
      <c r="J46" s="120" t="str">
        <f t="array" ref="J46">IFERROR(IF(I46 &lt; INDEX('Referência'!$B$2:$B$21, MATCH(F46&amp;E46, 'Referência'!$A$2:$A$21, 0)), "Abaixo do peso", IF(I46 &lt; INDEX('Referência'!$C$2:$C$21, MATCH(F46&amp;E46, 'Referência'!$A$2:$A$21, 0)), "Normal", IF(I46 &lt; INDEX('Referência'!$D$2:$D$21, MATCH(F46&amp;E46, 'Referência'!$A$2:$A$21, 0)), "Sobrepeso", "Obesidade"))), "")</f>
        <v/>
      </c>
    </row>
    <row r="47">
      <c r="A47" s="129"/>
      <c r="B47" s="49"/>
      <c r="C47" s="49" t="str">
        <f>'Secret. Escolar'!$C$49</f>
        <v/>
      </c>
      <c r="D47" s="130"/>
      <c r="E47" s="130"/>
      <c r="F47" s="130"/>
      <c r="G47" s="130"/>
      <c r="H47" s="130"/>
      <c r="I47" s="131" t="str">
        <f>"Professor(a): "&amp;Capa!G35</f>
        <v>Professor(a): ITAMAR VIEIRA NUNES</v>
      </c>
      <c r="J47" s="16"/>
    </row>
    <row r="48" ht="27.75" customHeight="1">
      <c r="A48" s="132" t="s">
        <v>88</v>
      </c>
      <c r="B48" s="16"/>
      <c r="C48" s="49" t="str">
        <f>'Secret. Escolar'!$C$50</f>
        <v/>
      </c>
      <c r="D48" s="130"/>
      <c r="E48" s="130"/>
      <c r="F48" s="130"/>
      <c r="G48" s="130"/>
      <c r="H48" s="130"/>
      <c r="I48" s="133"/>
      <c r="J48" s="16"/>
    </row>
    <row r="49">
      <c r="A49" s="134"/>
      <c r="B49" s="135" t="s">
        <v>89</v>
      </c>
      <c r="C49" s="49" t="str">
        <f>'Secret. Escolar'!$C$51</f>
        <v/>
      </c>
      <c r="D49" s="130"/>
      <c r="E49" s="130"/>
      <c r="F49" s="130"/>
      <c r="G49" s="130"/>
      <c r="H49" s="130"/>
      <c r="I49" s="136" t="s">
        <v>90</v>
      </c>
      <c r="J49" s="16"/>
    </row>
    <row r="50">
      <c r="A50" s="137"/>
      <c r="B50" s="135" t="s">
        <v>91</v>
      </c>
      <c r="C50" s="49" t="str">
        <f>'Secret. Escolar'!$C$52</f>
        <v/>
      </c>
      <c r="D50" s="130"/>
      <c r="E50" s="130"/>
      <c r="F50" s="130"/>
      <c r="G50" s="130"/>
      <c r="H50" s="130"/>
      <c r="I50" s="138"/>
      <c r="J50" s="139"/>
    </row>
    <row r="51">
      <c r="A51" s="140"/>
      <c r="B51" s="49" t="s">
        <v>92</v>
      </c>
      <c r="C51" s="49" t="str">
        <f>'Secret. Escolar'!$C$53</f>
        <v/>
      </c>
      <c r="D51" s="130"/>
      <c r="E51" s="130"/>
      <c r="F51" s="130"/>
      <c r="G51" s="130"/>
      <c r="H51" s="130"/>
      <c r="I51" s="94"/>
      <c r="J51" s="141"/>
    </row>
    <row r="52">
      <c r="A52" s="142"/>
      <c r="B52" s="49" t="s">
        <v>93</v>
      </c>
      <c r="C52" s="49" t="str">
        <f>'Secret. Escolar'!$C$54</f>
        <v/>
      </c>
      <c r="D52" s="130"/>
      <c r="E52" s="130"/>
      <c r="F52" s="130"/>
      <c r="G52" s="130"/>
      <c r="H52" s="130"/>
      <c r="I52" s="94"/>
      <c r="J52" s="141"/>
    </row>
    <row r="53">
      <c r="A53" s="129"/>
      <c r="B53" s="49"/>
      <c r="C53" s="49" t="str">
        <f>'Secret. Escolar'!$C$55</f>
        <v/>
      </c>
      <c r="D53" s="130"/>
      <c r="E53" s="130"/>
      <c r="F53" s="130"/>
      <c r="G53" s="130"/>
      <c r="H53" s="130"/>
      <c r="I53" s="136" t="s">
        <v>94</v>
      </c>
      <c r="J53" s="16"/>
    </row>
  </sheetData>
  <mergeCells count="11">
    <mergeCell ref="I48:J48"/>
    <mergeCell ref="I49:J49"/>
    <mergeCell ref="I50:J52"/>
    <mergeCell ref="I53:J53"/>
    <mergeCell ref="A1:C2"/>
    <mergeCell ref="D1:J1"/>
    <mergeCell ref="D2:J2"/>
    <mergeCell ref="A3:C3"/>
    <mergeCell ref="D3:J3"/>
    <mergeCell ref="I47:J47"/>
    <mergeCell ref="A48:B48"/>
  </mergeCells>
  <conditionalFormatting sqref="J5:J46">
    <cfRule type="cellIs" dxfId="0" priority="1" operator="equal">
      <formula>"Normal"</formula>
    </cfRule>
  </conditionalFormatting>
  <conditionalFormatting sqref="J5:J46">
    <cfRule type="cellIs" dxfId="1" priority="2" operator="equal">
      <formula>"Sobrepeso"</formula>
    </cfRule>
  </conditionalFormatting>
  <conditionalFormatting sqref="J5:J46">
    <cfRule type="cellIs" dxfId="2" priority="3" operator="equal">
      <formula>"Obesidade"</formula>
    </cfRule>
  </conditionalFormatting>
  <conditionalFormatting sqref="J5:J46">
    <cfRule type="cellIs" dxfId="3" priority="4" operator="equal">
      <formula>"Abaixo do peso"</formula>
    </cfRule>
  </conditionalFormatting>
  <printOptions horizontalCentered="1"/>
  <pageMargins bottom="0.19685039370078738" footer="0.0" header="0.0" left="0.19685039370078738" right="0.19685039370078738" top="0.19685039370078738"/>
  <pageSetup paperSize="9" scale="74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25"/>
    <col customWidth="1" min="2" max="2" width="33.13"/>
    <col customWidth="1" min="3" max="3" width="11.63"/>
    <col customWidth="1" min="4" max="4" width="5.5"/>
    <col customWidth="1" min="5" max="5" width="5.38"/>
    <col customWidth="1" min="6" max="6" width="4.88"/>
    <col customWidth="1" min="7" max="8" width="4.63"/>
    <col customWidth="1" min="9" max="9" width="4.5"/>
    <col customWidth="1" min="10" max="10" width="4.75"/>
    <col customWidth="1" min="11" max="11" width="4.63"/>
    <col customWidth="1" min="12" max="12" width="5.0"/>
    <col customWidth="1" min="13" max="13" width="8.0"/>
  </cols>
  <sheetData>
    <row r="1">
      <c r="A1" s="143" t="str">
        <f>"Componente Curricular: "&amp;Capa!J38&amp;""</f>
        <v>Componente Curricular: Educaçao Física</v>
      </c>
      <c r="D1" s="144" t="str">
        <f>"Ano: "&amp;Capa!F30&amp;"     Turma: "&amp;Capa!N30&amp;"    Turno: "&amp;Capa!F32&amp;"   Ano Letivo: "&amp;Capa!O32&amp;"    1º Semestre"&amp;"    "</f>
        <v>Ano: 2°     Turma: D    Turno: Vespertino   Ano Letivo: 2026    1º Semestre    </v>
      </c>
    </row>
    <row r="2">
      <c r="A2" s="20"/>
      <c r="B2" s="20"/>
      <c r="C2" s="20"/>
      <c r="D2" s="145" t="str">
        <f>"Professor(a): "&amp;Capa!G35</f>
        <v>Professor(a): ITAMAR VIEIRA NUNES</v>
      </c>
    </row>
    <row r="3" ht="18.75" customHeight="1">
      <c r="A3" s="55" t="s">
        <v>95</v>
      </c>
      <c r="B3" s="146" t="s">
        <v>61</v>
      </c>
      <c r="C3" s="147" t="s">
        <v>59</v>
      </c>
      <c r="D3" s="148" t="s">
        <v>96</v>
      </c>
      <c r="E3" s="15"/>
      <c r="F3" s="15"/>
      <c r="G3" s="15"/>
      <c r="H3" s="15"/>
      <c r="I3" s="15"/>
      <c r="J3" s="15"/>
      <c r="K3" s="16"/>
      <c r="L3" s="149" t="s">
        <v>97</v>
      </c>
      <c r="M3" s="149" t="s">
        <v>98</v>
      </c>
    </row>
    <row r="4" ht="15.75" customHeight="1">
      <c r="A4" s="45"/>
      <c r="B4" s="141"/>
      <c r="C4" s="150">
        <f>SUM('Reg. Aulas 1º Bim'!C37,'Reg. Aulas 2º Bim'!C37)</f>
        <v>20</v>
      </c>
      <c r="D4" s="151" t="s">
        <v>99</v>
      </c>
      <c r="E4" s="15"/>
      <c r="F4" s="15"/>
      <c r="G4" s="15"/>
      <c r="H4" s="15"/>
      <c r="I4" s="15"/>
      <c r="J4" s="15"/>
      <c r="K4" s="16"/>
      <c r="L4" s="45"/>
      <c r="M4" s="45"/>
    </row>
    <row r="5" ht="82.5" customHeight="1">
      <c r="A5" s="48"/>
      <c r="B5" s="21"/>
      <c r="C5" s="152" t="s">
        <v>100</v>
      </c>
      <c r="D5" s="153" t="s">
        <v>101</v>
      </c>
      <c r="E5" s="153" t="s">
        <v>102</v>
      </c>
      <c r="F5" s="153" t="s">
        <v>103</v>
      </c>
      <c r="G5" s="153" t="s">
        <v>104</v>
      </c>
      <c r="H5" s="153" t="s">
        <v>105</v>
      </c>
      <c r="I5" s="153" t="s">
        <v>106</v>
      </c>
      <c r="J5" s="154" t="s">
        <v>107</v>
      </c>
      <c r="K5" s="155" t="s">
        <v>108</v>
      </c>
      <c r="L5" s="48"/>
      <c r="M5" s="48"/>
    </row>
    <row r="6">
      <c r="A6" s="116">
        <v>1.0</v>
      </c>
      <c r="B6" s="49" t="str">
        <f>'Secret. Escolar'!$B$6</f>
        <v>Adriana Sofia Gonzalez Torres</v>
      </c>
      <c r="C6" s="50" t="str">
        <f>'Secret. Escolar'!$C$6</f>
        <v/>
      </c>
      <c r="D6" s="156"/>
      <c r="E6" s="157"/>
      <c r="F6" s="156"/>
      <c r="G6" s="156"/>
      <c r="H6" s="156"/>
      <c r="I6" s="156"/>
      <c r="J6" s="158"/>
      <c r="K6" s="157"/>
      <c r="L6" s="159">
        <f>SUM('Frequência 1º Bim'!AI6,'Frequência 2º Bim'!AI6)</f>
        <v>0</v>
      </c>
      <c r="M6" s="160">
        <f t="shared" ref="M6:M55" si="1">IFERROR((C4-L6)*1/C4, "")</f>
        <v>1</v>
      </c>
    </row>
    <row r="7">
      <c r="A7" s="116">
        <v>2.0</v>
      </c>
      <c r="B7" s="49" t="str">
        <f>'Secret. Escolar'!$B$7</f>
        <v>Alyson Lucas de Sousa Alencar</v>
      </c>
      <c r="C7" s="49" t="str">
        <f>'Secret. Escolar'!$C$7</f>
        <v/>
      </c>
      <c r="D7" s="156"/>
      <c r="E7" s="161"/>
      <c r="F7" s="156"/>
      <c r="G7" s="156"/>
      <c r="H7" s="156"/>
      <c r="I7" s="156"/>
      <c r="J7" s="156"/>
      <c r="K7" s="157"/>
      <c r="L7" s="159">
        <f>SUM('Frequência 1º Bim'!AI7,'Frequência 2º Bim'!AI7)</f>
        <v>0</v>
      </c>
      <c r="M7" s="160" t="str">
        <f t="shared" si="1"/>
        <v/>
      </c>
    </row>
    <row r="8">
      <c r="A8" s="116">
        <v>3.0</v>
      </c>
      <c r="B8" s="49" t="str">
        <f>'Secret. Escolar'!$B$8</f>
        <v>Ana Clara Silva Zanolim</v>
      </c>
      <c r="C8" s="49" t="str">
        <f>'Secret. Escolar'!$C$8</f>
        <v/>
      </c>
      <c r="D8" s="156"/>
      <c r="E8" s="157"/>
      <c r="F8" s="156"/>
      <c r="G8" s="156"/>
      <c r="H8" s="156"/>
      <c r="I8" s="156"/>
      <c r="J8" s="156"/>
      <c r="K8" s="157"/>
      <c r="L8" s="159">
        <f>SUM('Frequência 1º Bim'!AI8,'Frequência 2º Bim'!AI8)</f>
        <v>0</v>
      </c>
      <c r="M8" s="160" t="str">
        <f t="shared" si="1"/>
        <v/>
      </c>
    </row>
    <row r="9">
      <c r="A9" s="116">
        <v>4.0</v>
      </c>
      <c r="B9" s="49" t="str">
        <f>'Secret. Escolar'!$B$9</f>
        <v>Antônio Alves Pereira de Souza</v>
      </c>
      <c r="C9" s="49" t="str">
        <f>'Secret. Escolar'!$C$9</f>
        <v/>
      </c>
      <c r="D9" s="156"/>
      <c r="E9" s="156"/>
      <c r="F9" s="156"/>
      <c r="G9" s="156"/>
      <c r="H9" s="156"/>
      <c r="I9" s="156"/>
      <c r="J9" s="156"/>
      <c r="K9" s="157"/>
      <c r="L9" s="159">
        <f>SUM('Frequência 1º Bim'!AI9,'Frequência 2º Bim'!AI9)</f>
        <v>1</v>
      </c>
      <c r="M9" s="160" t="str">
        <f t="shared" si="1"/>
        <v/>
      </c>
    </row>
    <row r="10">
      <c r="A10" s="116">
        <v>5.0</v>
      </c>
      <c r="B10" s="49" t="str">
        <f>'Secret. Escolar'!$B$10</f>
        <v>Cecília Resende dos Santos</v>
      </c>
      <c r="C10" s="49" t="str">
        <f>'Secret. Escolar'!$C$10</f>
        <v/>
      </c>
      <c r="D10" s="156"/>
      <c r="E10" s="156"/>
      <c r="F10" s="156"/>
      <c r="G10" s="156"/>
      <c r="H10" s="156"/>
      <c r="I10" s="156"/>
      <c r="J10" s="156"/>
      <c r="K10" s="157"/>
      <c r="L10" s="159">
        <f>SUM('Frequência 1º Bim'!AI10,'Frequência 2º Bim'!AI10)</f>
        <v>0</v>
      </c>
      <c r="M10" s="160" t="str">
        <f t="shared" si="1"/>
        <v/>
      </c>
    </row>
    <row r="11">
      <c r="A11" s="116">
        <v>6.0</v>
      </c>
      <c r="B11" s="49" t="str">
        <f>'Secret. Escolar'!$B$11</f>
        <v>Emanuelly Vale da Silva</v>
      </c>
      <c r="C11" s="49" t="str">
        <f>'Secret. Escolar'!$C$11</f>
        <v/>
      </c>
      <c r="D11" s="156"/>
      <c r="E11" s="156"/>
      <c r="F11" s="156"/>
      <c r="G11" s="156"/>
      <c r="H11" s="156"/>
      <c r="I11" s="156"/>
      <c r="J11" s="156"/>
      <c r="K11" s="157"/>
      <c r="L11" s="159">
        <f>SUM('Frequência 1º Bim'!AI11,'Frequência 2º Bim'!AI11)</f>
        <v>0</v>
      </c>
      <c r="M11" s="160" t="str">
        <f t="shared" si="1"/>
        <v/>
      </c>
    </row>
    <row r="12">
      <c r="A12" s="116">
        <v>7.0</v>
      </c>
      <c r="B12" s="49" t="str">
        <f>'Secret. Escolar'!$B$12</f>
        <v>Glloria Vitorya Moreira do Vale</v>
      </c>
      <c r="C12" s="49" t="str">
        <f>'Secret. Escolar'!$C$12</f>
        <v/>
      </c>
      <c r="D12" s="156"/>
      <c r="E12" s="156"/>
      <c r="F12" s="156"/>
      <c r="G12" s="156"/>
      <c r="H12" s="156"/>
      <c r="I12" s="156"/>
      <c r="J12" s="156"/>
      <c r="K12" s="157"/>
      <c r="L12" s="159">
        <f>SUM('Frequência 1º Bim'!AI12,'Frequência 2º Bim'!AI12)</f>
        <v>0</v>
      </c>
      <c r="M12" s="160" t="str">
        <f t="shared" si="1"/>
        <v/>
      </c>
    </row>
    <row r="13">
      <c r="A13" s="116">
        <v>8.0</v>
      </c>
      <c r="B13" s="49" t="str">
        <f>'Secret. Escolar'!$B$13</f>
        <v>Izabelly Vitória Pereira Muniz</v>
      </c>
      <c r="C13" s="49" t="str">
        <f>'Secret. Escolar'!$C$13</f>
        <v/>
      </c>
      <c r="D13" s="156"/>
      <c r="E13" s="156"/>
      <c r="F13" s="156"/>
      <c r="G13" s="156"/>
      <c r="H13" s="156"/>
      <c r="I13" s="156"/>
      <c r="J13" s="156"/>
      <c r="K13" s="157"/>
      <c r="L13" s="159">
        <f>SUM('Frequência 1º Bim'!AI13,'Frequência 2º Bim'!AI13)</f>
        <v>1</v>
      </c>
      <c r="M13" s="160" t="str">
        <f t="shared" si="1"/>
        <v/>
      </c>
    </row>
    <row r="14">
      <c r="A14" s="116">
        <v>9.0</v>
      </c>
      <c r="B14" s="49" t="str">
        <f>'Secret. Escolar'!$B$14</f>
        <v>Kaleu Carneiro Mesquita Tavares</v>
      </c>
      <c r="C14" s="49" t="str">
        <f>'Secret. Escolar'!$C$14</f>
        <v/>
      </c>
      <c r="D14" s="156"/>
      <c r="E14" s="156"/>
      <c r="F14" s="156"/>
      <c r="G14" s="156"/>
      <c r="H14" s="156"/>
      <c r="I14" s="156"/>
      <c r="J14" s="156"/>
      <c r="K14" s="157"/>
      <c r="L14" s="159">
        <f>SUM('Frequência 1º Bim'!AI14,'Frequência 2º Bim'!AI14)</f>
        <v>0</v>
      </c>
      <c r="M14" s="160" t="str">
        <f t="shared" si="1"/>
        <v/>
      </c>
    </row>
    <row r="15">
      <c r="A15" s="116">
        <v>10.0</v>
      </c>
      <c r="B15" s="51" t="str">
        <f>'Secret. Escolar'!$B$15</f>
        <v>Lelimar Sofia Reyes Febres</v>
      </c>
      <c r="C15" s="49" t="str">
        <f>'Secret. Escolar'!$C$15</f>
        <v/>
      </c>
      <c r="D15" s="156"/>
      <c r="E15" s="156"/>
      <c r="F15" s="156"/>
      <c r="G15" s="156"/>
      <c r="H15" s="156"/>
      <c r="I15" s="156"/>
      <c r="J15" s="156"/>
      <c r="K15" s="157"/>
      <c r="L15" s="159">
        <f>SUM('Frequência 1º Bim'!AI15,'Frequência 2º Bim'!AI15)</f>
        <v>0</v>
      </c>
      <c r="M15" s="160" t="str">
        <f t="shared" si="1"/>
        <v/>
      </c>
    </row>
    <row r="16">
      <c r="A16" s="116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156"/>
      <c r="E16" s="156"/>
      <c r="F16" s="156"/>
      <c r="G16" s="156"/>
      <c r="H16" s="156"/>
      <c r="I16" s="156"/>
      <c r="J16" s="156"/>
      <c r="K16" s="157"/>
      <c r="L16" s="159">
        <f>SUM('Frequência 1º Bim'!AI16,'Frequência 2º Bim'!AI16)</f>
        <v>0</v>
      </c>
      <c r="M16" s="160" t="str">
        <f t="shared" si="1"/>
        <v/>
      </c>
    </row>
    <row r="17">
      <c r="A17" s="116">
        <v>12.0</v>
      </c>
      <c r="B17" s="49" t="str">
        <f>'Secret. Escolar'!$B$17</f>
        <v>Luiz Otávio Santos de Sousa</v>
      </c>
      <c r="C17" s="49" t="str">
        <f>'Secret. Escolar'!$C$17</f>
        <v/>
      </c>
      <c r="D17" s="156"/>
      <c r="E17" s="156"/>
      <c r="F17" s="156"/>
      <c r="G17" s="156"/>
      <c r="H17" s="156"/>
      <c r="I17" s="156"/>
      <c r="J17" s="156"/>
      <c r="K17" s="157"/>
      <c r="L17" s="159">
        <f>SUM('Frequência 1º Bim'!AI17,'Frequência 2º Bim'!AI17)</f>
        <v>0</v>
      </c>
      <c r="M17" s="160" t="str">
        <f t="shared" si="1"/>
        <v/>
      </c>
    </row>
    <row r="18">
      <c r="A18" s="116">
        <v>13.0</v>
      </c>
      <c r="B18" s="49" t="str">
        <f>'Secret. Escolar'!$B$18</f>
        <v>Maria Valentina de Souza</v>
      </c>
      <c r="C18" s="49" t="str">
        <f>'Secret. Escolar'!$C$18</f>
        <v/>
      </c>
      <c r="D18" s="156"/>
      <c r="E18" s="156"/>
      <c r="F18" s="156"/>
      <c r="G18" s="156"/>
      <c r="H18" s="156"/>
      <c r="I18" s="156"/>
      <c r="J18" s="156"/>
      <c r="K18" s="157"/>
      <c r="L18" s="159">
        <f>SUM('Frequência 1º Bim'!AI18,'Frequência 2º Bim'!AI18)</f>
        <v>0</v>
      </c>
      <c r="M18" s="160" t="str">
        <f t="shared" si="1"/>
        <v/>
      </c>
    </row>
    <row r="19">
      <c r="A19" s="116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156"/>
      <c r="E19" s="156"/>
      <c r="F19" s="156"/>
      <c r="G19" s="156"/>
      <c r="H19" s="156"/>
      <c r="I19" s="156"/>
      <c r="J19" s="156"/>
      <c r="K19" s="157"/>
      <c r="L19" s="159">
        <f>SUM('Frequência 1º Bim'!AI19,'Frequência 2º Bim'!AI19)</f>
        <v>0</v>
      </c>
      <c r="M19" s="160" t="str">
        <f t="shared" si="1"/>
        <v/>
      </c>
    </row>
    <row r="20">
      <c r="A20" s="116">
        <v>15.0</v>
      </c>
      <c r="B20" s="49" t="str">
        <f>'Secret. Escolar'!$B$20</f>
        <v>Melissa Oliveira Magalhães</v>
      </c>
      <c r="C20" s="49" t="str">
        <f>'Secret. Escolar'!$C$20</f>
        <v/>
      </c>
      <c r="D20" s="156"/>
      <c r="E20" s="156"/>
      <c r="F20" s="156"/>
      <c r="G20" s="156"/>
      <c r="H20" s="156"/>
      <c r="I20" s="156"/>
      <c r="J20" s="156"/>
      <c r="K20" s="157"/>
      <c r="L20" s="159">
        <f>SUM('Frequência 1º Bim'!AI20,'Frequência 2º Bim'!AI20)</f>
        <v>0</v>
      </c>
      <c r="M20" s="160" t="str">
        <f t="shared" si="1"/>
        <v/>
      </c>
    </row>
    <row r="21">
      <c r="A21" s="116">
        <v>16.0</v>
      </c>
      <c r="B21" s="49" t="str">
        <f>'Secret. Escolar'!$B$21</f>
        <v>Neilson de Oliveira Carneiro</v>
      </c>
      <c r="C21" s="49" t="str">
        <f>'Secret. Escolar'!$C$21</f>
        <v/>
      </c>
      <c r="D21" s="156"/>
      <c r="E21" s="156"/>
      <c r="F21" s="156"/>
      <c r="G21" s="156"/>
      <c r="H21" s="156"/>
      <c r="I21" s="156"/>
      <c r="J21" s="156"/>
      <c r="K21" s="157"/>
      <c r="L21" s="159">
        <f>SUM('Frequência 1º Bim'!AI21,'Frequência 2º Bim'!AI21)</f>
        <v>0</v>
      </c>
      <c r="M21" s="160" t="str">
        <f t="shared" si="1"/>
        <v/>
      </c>
    </row>
    <row r="22">
      <c r="A22" s="116">
        <v>17.0</v>
      </c>
      <c r="B22" s="49" t="str">
        <f>'Secret. Escolar'!$B$22</f>
        <v>Sarah Gabrielle Coelho Lopes</v>
      </c>
      <c r="C22" s="49" t="str">
        <f>'Secret. Escolar'!$C$22</f>
        <v/>
      </c>
      <c r="D22" s="156"/>
      <c r="E22" s="156"/>
      <c r="F22" s="156"/>
      <c r="G22" s="156"/>
      <c r="H22" s="156"/>
      <c r="I22" s="156"/>
      <c r="J22" s="156"/>
      <c r="K22" s="157"/>
      <c r="L22" s="159">
        <f>SUM('Frequência 1º Bim'!AI22,'Frequência 2º Bim'!AI22)</f>
        <v>0</v>
      </c>
      <c r="M22" s="160" t="str">
        <f t="shared" si="1"/>
        <v/>
      </c>
    </row>
    <row r="23">
      <c r="A23" s="116">
        <v>18.0</v>
      </c>
      <c r="B23" s="49" t="str">
        <f>'Secret. Escolar'!$B$23</f>
        <v>Sophia Pereira de Oliveira</v>
      </c>
      <c r="C23" s="49" t="str">
        <f>'Secret. Escolar'!$C$23</f>
        <v/>
      </c>
      <c r="D23" s="156"/>
      <c r="E23" s="156"/>
      <c r="F23" s="156"/>
      <c r="G23" s="156"/>
      <c r="H23" s="156"/>
      <c r="I23" s="156"/>
      <c r="J23" s="156"/>
      <c r="K23" s="157"/>
      <c r="L23" s="159">
        <f>SUM('Frequência 1º Bim'!AI23,'Frequência 2º Bim'!AI23)</f>
        <v>0</v>
      </c>
      <c r="M23" s="160" t="str">
        <f t="shared" si="1"/>
        <v/>
      </c>
    </row>
    <row r="24">
      <c r="A24" s="116">
        <v>19.0</v>
      </c>
      <c r="B24" s="49" t="str">
        <f>'Secret. Escolar'!$B$24</f>
        <v>Wuilmer Adrian Ramos Salazar</v>
      </c>
      <c r="C24" s="49" t="str">
        <f>'Secret. Escolar'!$C$24</f>
        <v/>
      </c>
      <c r="D24" s="156"/>
      <c r="E24" s="156"/>
      <c r="F24" s="156"/>
      <c r="G24" s="156"/>
      <c r="H24" s="156"/>
      <c r="I24" s="156"/>
      <c r="J24" s="156"/>
      <c r="K24" s="157"/>
      <c r="L24" s="159">
        <f>SUM('Frequência 1º Bim'!AI24,'Frequência 2º Bim'!AI24)</f>
        <v>0</v>
      </c>
      <c r="M24" s="160" t="str">
        <f t="shared" si="1"/>
        <v/>
      </c>
    </row>
    <row r="25">
      <c r="A25" s="116">
        <v>20.0</v>
      </c>
      <c r="B25" s="49" t="str">
        <f>'Secret. Escolar'!$B$25</f>
        <v/>
      </c>
      <c r="C25" s="49" t="str">
        <f>'Secret. Escolar'!$C$25</f>
        <v/>
      </c>
      <c r="D25" s="156"/>
      <c r="E25" s="156"/>
      <c r="F25" s="156"/>
      <c r="G25" s="156"/>
      <c r="H25" s="156"/>
      <c r="I25" s="156"/>
      <c r="J25" s="156"/>
      <c r="K25" s="157"/>
      <c r="L25" s="159">
        <f>SUM('Frequência 1º Bim'!AI25,'Frequência 2º Bim'!AI25)</f>
        <v>0</v>
      </c>
      <c r="M25" s="160" t="str">
        <f t="shared" si="1"/>
        <v/>
      </c>
    </row>
    <row r="26">
      <c r="A26" s="116">
        <v>21.0</v>
      </c>
      <c r="B26" s="49" t="str">
        <f>'Secret. Escolar'!$B$26</f>
        <v/>
      </c>
      <c r="C26" s="49" t="str">
        <f>'Secret. Escolar'!$C$26</f>
        <v/>
      </c>
      <c r="D26" s="156"/>
      <c r="E26" s="156"/>
      <c r="F26" s="156"/>
      <c r="G26" s="156"/>
      <c r="H26" s="156"/>
      <c r="I26" s="156"/>
      <c r="J26" s="156"/>
      <c r="K26" s="157"/>
      <c r="L26" s="159">
        <f>SUM('Frequência 1º Bim'!AI26,'Frequência 2º Bim'!AI26)</f>
        <v>0</v>
      </c>
      <c r="M26" s="160" t="str">
        <f t="shared" si="1"/>
        <v/>
      </c>
    </row>
    <row r="27">
      <c r="A27" s="116">
        <v>22.0</v>
      </c>
      <c r="B27" s="49" t="str">
        <f>'Secret. Escolar'!$B$27</f>
        <v/>
      </c>
      <c r="C27" s="49" t="str">
        <f>'Secret. Escolar'!$C$27</f>
        <v/>
      </c>
      <c r="D27" s="156"/>
      <c r="E27" s="156"/>
      <c r="F27" s="156"/>
      <c r="G27" s="156"/>
      <c r="H27" s="156"/>
      <c r="I27" s="156"/>
      <c r="J27" s="156"/>
      <c r="K27" s="157"/>
      <c r="L27" s="159">
        <f>SUM('Frequência 1º Bim'!AI27,'Frequência 2º Bim'!AI27)</f>
        <v>0</v>
      </c>
      <c r="M27" s="160" t="str">
        <f t="shared" si="1"/>
        <v/>
      </c>
    </row>
    <row r="28">
      <c r="A28" s="116">
        <v>23.0</v>
      </c>
      <c r="B28" s="49" t="str">
        <f>'Secret. Escolar'!$B$28</f>
        <v/>
      </c>
      <c r="C28" s="49" t="str">
        <f>'Secret. Escolar'!$C$28</f>
        <v/>
      </c>
      <c r="D28" s="156"/>
      <c r="E28" s="156"/>
      <c r="F28" s="156"/>
      <c r="G28" s="156"/>
      <c r="H28" s="156"/>
      <c r="I28" s="156"/>
      <c r="J28" s="156"/>
      <c r="K28" s="157"/>
      <c r="L28" s="159">
        <f>SUM('Frequência 1º Bim'!AI28,'Frequência 2º Bim'!AI28)</f>
        <v>0</v>
      </c>
      <c r="M28" s="160" t="str">
        <f t="shared" si="1"/>
        <v/>
      </c>
    </row>
    <row r="29">
      <c r="A29" s="116">
        <v>24.0</v>
      </c>
      <c r="B29" s="49" t="str">
        <f>'Secret. Escolar'!$B$29</f>
        <v/>
      </c>
      <c r="C29" s="49" t="str">
        <f>'Secret. Escolar'!$C$29</f>
        <v/>
      </c>
      <c r="D29" s="156"/>
      <c r="E29" s="156"/>
      <c r="F29" s="156"/>
      <c r="G29" s="156"/>
      <c r="H29" s="156"/>
      <c r="I29" s="156"/>
      <c r="J29" s="156"/>
      <c r="K29" s="157"/>
      <c r="L29" s="159">
        <f>SUM('Frequência 1º Bim'!AI29,'Frequência 2º Bim'!AI29)</f>
        <v>0</v>
      </c>
      <c r="M29" s="160" t="str">
        <f t="shared" si="1"/>
        <v/>
      </c>
    </row>
    <row r="30">
      <c r="A30" s="116">
        <v>25.0</v>
      </c>
      <c r="B30" s="49" t="str">
        <f>'Secret. Escolar'!$B$30</f>
        <v/>
      </c>
      <c r="C30" s="49" t="str">
        <f>'Secret. Escolar'!$C$30</f>
        <v/>
      </c>
      <c r="D30" s="156"/>
      <c r="E30" s="156"/>
      <c r="F30" s="156"/>
      <c r="G30" s="156"/>
      <c r="H30" s="156"/>
      <c r="I30" s="156"/>
      <c r="J30" s="156"/>
      <c r="K30" s="157"/>
      <c r="L30" s="159">
        <f>SUM('Frequência 1º Bim'!AI30,'Frequência 2º Bim'!AI30)</f>
        <v>0</v>
      </c>
      <c r="M30" s="160" t="str">
        <f t="shared" si="1"/>
        <v/>
      </c>
    </row>
    <row r="31">
      <c r="A31" s="116">
        <v>26.0</v>
      </c>
      <c r="B31" s="49" t="str">
        <f>'Secret. Escolar'!$B$31</f>
        <v/>
      </c>
      <c r="C31" s="49" t="str">
        <f>'Secret. Escolar'!$C$31</f>
        <v/>
      </c>
      <c r="D31" s="156"/>
      <c r="E31" s="156"/>
      <c r="F31" s="156"/>
      <c r="G31" s="156"/>
      <c r="H31" s="156"/>
      <c r="I31" s="156"/>
      <c r="J31" s="156"/>
      <c r="K31" s="157"/>
      <c r="L31" s="159">
        <f>SUM('Frequência 1º Bim'!AI31,'Frequência 2º Bim'!AI31)</f>
        <v>0</v>
      </c>
      <c r="M31" s="160" t="str">
        <f t="shared" si="1"/>
        <v/>
      </c>
    </row>
    <row r="32">
      <c r="A32" s="116">
        <v>27.0</v>
      </c>
      <c r="B32" s="49" t="str">
        <f>'Secret. Escolar'!$B$32</f>
        <v/>
      </c>
      <c r="C32" s="49" t="str">
        <f>'Secret. Escolar'!$C$32</f>
        <v/>
      </c>
      <c r="D32" s="156"/>
      <c r="E32" s="156"/>
      <c r="F32" s="156"/>
      <c r="G32" s="156"/>
      <c r="H32" s="156"/>
      <c r="I32" s="156"/>
      <c r="J32" s="156"/>
      <c r="K32" s="157"/>
      <c r="L32" s="159">
        <f>SUM('Frequência 1º Bim'!AI32,'Frequência 2º Bim'!AI32)</f>
        <v>0</v>
      </c>
      <c r="M32" s="160" t="str">
        <f t="shared" si="1"/>
        <v/>
      </c>
    </row>
    <row r="33">
      <c r="A33" s="116">
        <v>28.0</v>
      </c>
      <c r="B33" s="49" t="str">
        <f>'Secret. Escolar'!$B$33</f>
        <v/>
      </c>
      <c r="C33" s="49" t="str">
        <f>'Secret. Escolar'!$C$33</f>
        <v/>
      </c>
      <c r="D33" s="156"/>
      <c r="E33" s="156"/>
      <c r="F33" s="156"/>
      <c r="G33" s="156"/>
      <c r="H33" s="156"/>
      <c r="I33" s="156"/>
      <c r="J33" s="156"/>
      <c r="K33" s="157"/>
      <c r="L33" s="159">
        <f>SUM('Frequência 1º Bim'!AI33,'Frequência 2º Bim'!AI33)</f>
        <v>0</v>
      </c>
      <c r="M33" s="160" t="str">
        <f t="shared" si="1"/>
        <v/>
      </c>
    </row>
    <row r="34">
      <c r="A34" s="116">
        <v>29.0</v>
      </c>
      <c r="B34" s="49" t="str">
        <f>'Secret. Escolar'!$B$34</f>
        <v/>
      </c>
      <c r="C34" s="49" t="str">
        <f>'Secret. Escolar'!$C$34</f>
        <v/>
      </c>
      <c r="D34" s="126"/>
      <c r="E34" s="126"/>
      <c r="F34" s="126"/>
      <c r="G34" s="126"/>
      <c r="H34" s="126"/>
      <c r="I34" s="126"/>
      <c r="J34" s="126"/>
      <c r="K34" s="162"/>
      <c r="L34" s="159">
        <f>SUM('Frequência 1º Bim'!AI34,'Frequência 2º Bim'!AI34)</f>
        <v>0</v>
      </c>
      <c r="M34" s="160" t="str">
        <f t="shared" si="1"/>
        <v/>
      </c>
    </row>
    <row r="35">
      <c r="A35" s="116">
        <v>30.0</v>
      </c>
      <c r="B35" s="49" t="str">
        <f>'Secret. Escolar'!$B$35</f>
        <v/>
      </c>
      <c r="C35" s="49" t="str">
        <f>'Secret. Escolar'!$C$35</f>
        <v/>
      </c>
      <c r="D35" s="126"/>
      <c r="E35" s="126"/>
      <c r="F35" s="126"/>
      <c r="G35" s="126"/>
      <c r="H35" s="126"/>
      <c r="I35" s="126"/>
      <c r="J35" s="126"/>
      <c r="K35" s="162"/>
      <c r="L35" s="159">
        <f>SUM('Frequência 1º Bim'!AI35,'Frequência 2º Bim'!AI35)</f>
        <v>0</v>
      </c>
      <c r="M35" s="160" t="str">
        <f t="shared" si="1"/>
        <v/>
      </c>
    </row>
    <row r="36">
      <c r="A36" s="116">
        <v>31.0</v>
      </c>
      <c r="B36" s="49" t="str">
        <f>'Secret. Escolar'!$B$36</f>
        <v/>
      </c>
      <c r="C36" s="49" t="str">
        <f>'Secret. Escolar'!$C$36</f>
        <v/>
      </c>
      <c r="D36" s="126"/>
      <c r="E36" s="126"/>
      <c r="F36" s="126"/>
      <c r="G36" s="126"/>
      <c r="H36" s="126"/>
      <c r="I36" s="126"/>
      <c r="J36" s="126"/>
      <c r="K36" s="162"/>
      <c r="L36" s="159">
        <f>SUM('Frequência 1º Bim'!AI36,'Frequência 2º Bim'!AI36)</f>
        <v>0</v>
      </c>
      <c r="M36" s="160" t="str">
        <f t="shared" si="1"/>
        <v/>
      </c>
    </row>
    <row r="37">
      <c r="A37" s="116">
        <v>32.0</v>
      </c>
      <c r="B37" s="49" t="str">
        <f>'Secret. Escolar'!$B$37</f>
        <v/>
      </c>
      <c r="C37" s="49" t="str">
        <f>'Secret. Escolar'!$C$37</f>
        <v/>
      </c>
      <c r="D37" s="126"/>
      <c r="E37" s="126"/>
      <c r="F37" s="126"/>
      <c r="G37" s="126"/>
      <c r="H37" s="126"/>
      <c r="I37" s="126"/>
      <c r="J37" s="126"/>
      <c r="K37" s="162"/>
      <c r="L37" s="159">
        <f>SUM('Frequência 1º Bim'!AI37,'Frequência 2º Bim'!AI37)</f>
        <v>0</v>
      </c>
      <c r="M37" s="160" t="str">
        <f t="shared" si="1"/>
        <v/>
      </c>
    </row>
    <row r="38">
      <c r="A38" s="116">
        <v>33.0</v>
      </c>
      <c r="B38" s="49" t="str">
        <f>'Secret. Escolar'!$B$38</f>
        <v/>
      </c>
      <c r="C38" s="49" t="str">
        <f>'Secret. Escolar'!$C$38</f>
        <v/>
      </c>
      <c r="D38" s="126"/>
      <c r="E38" s="126"/>
      <c r="F38" s="126"/>
      <c r="G38" s="126"/>
      <c r="H38" s="126"/>
      <c r="I38" s="126"/>
      <c r="J38" s="126"/>
      <c r="K38" s="162"/>
      <c r="L38" s="159">
        <f>SUM('Frequência 1º Bim'!AI38,'Frequência 2º Bim'!AI38)</f>
        <v>0</v>
      </c>
      <c r="M38" s="160" t="str">
        <f t="shared" si="1"/>
        <v/>
      </c>
    </row>
    <row r="39">
      <c r="A39" s="116">
        <v>34.0</v>
      </c>
      <c r="B39" s="49" t="str">
        <f>'Secret. Escolar'!$B$39</f>
        <v/>
      </c>
      <c r="C39" s="49" t="str">
        <f>'Secret. Escolar'!$C$39</f>
        <v/>
      </c>
      <c r="D39" s="126"/>
      <c r="E39" s="126"/>
      <c r="F39" s="126"/>
      <c r="G39" s="126"/>
      <c r="H39" s="126"/>
      <c r="I39" s="126"/>
      <c r="J39" s="126"/>
      <c r="K39" s="162"/>
      <c r="L39" s="159">
        <f>SUM('Frequência 1º Bim'!AI39,'Frequência 2º Bim'!AI39)</f>
        <v>0</v>
      </c>
      <c r="M39" s="160" t="str">
        <f t="shared" si="1"/>
        <v/>
      </c>
    </row>
    <row r="40">
      <c r="A40" s="116">
        <v>35.0</v>
      </c>
      <c r="B40" s="49" t="str">
        <f>'Secret. Escolar'!$B$40</f>
        <v/>
      </c>
      <c r="C40" s="49" t="str">
        <f>'Secret. Escolar'!$C$40</f>
        <v/>
      </c>
      <c r="D40" s="126"/>
      <c r="E40" s="126"/>
      <c r="F40" s="126"/>
      <c r="G40" s="126"/>
      <c r="H40" s="126"/>
      <c r="I40" s="126"/>
      <c r="J40" s="126"/>
      <c r="K40" s="162"/>
      <c r="L40" s="159">
        <f>SUM('Frequência 1º Bim'!AI40,'Frequência 2º Bim'!AI40)</f>
        <v>0</v>
      </c>
      <c r="M40" s="160" t="str">
        <f t="shared" si="1"/>
        <v/>
      </c>
    </row>
    <row r="41">
      <c r="A41" s="116">
        <v>36.0</v>
      </c>
      <c r="B41" s="49" t="str">
        <f>'Secret. Escolar'!$B$41</f>
        <v/>
      </c>
      <c r="C41" s="49" t="str">
        <f>'Secret. Escolar'!$C$41</f>
        <v/>
      </c>
      <c r="D41" s="126"/>
      <c r="E41" s="126"/>
      <c r="F41" s="126"/>
      <c r="G41" s="126"/>
      <c r="H41" s="126"/>
      <c r="I41" s="126"/>
      <c r="J41" s="126"/>
      <c r="K41" s="162"/>
      <c r="L41" s="159">
        <f>SUM('Frequência 1º Bim'!AI41,'Frequência 2º Bim'!AI41)</f>
        <v>0</v>
      </c>
      <c r="M41" s="160" t="str">
        <f t="shared" si="1"/>
        <v/>
      </c>
    </row>
    <row r="42">
      <c r="A42" s="116">
        <v>37.0</v>
      </c>
      <c r="B42" s="49" t="str">
        <f>'Secret. Escolar'!$B$42</f>
        <v/>
      </c>
      <c r="C42" s="49" t="str">
        <f>'Secret. Escolar'!$C$42</f>
        <v/>
      </c>
      <c r="D42" s="126"/>
      <c r="E42" s="126"/>
      <c r="F42" s="126"/>
      <c r="G42" s="126"/>
      <c r="H42" s="126"/>
      <c r="I42" s="126"/>
      <c r="J42" s="126"/>
      <c r="K42" s="162"/>
      <c r="L42" s="159">
        <f>SUM('Frequência 1º Bim'!AI42,'Frequência 2º Bim'!AI42)</f>
        <v>0</v>
      </c>
      <c r="M42" s="160" t="str">
        <f t="shared" si="1"/>
        <v/>
      </c>
    </row>
    <row r="43">
      <c r="A43" s="116">
        <v>38.0</v>
      </c>
      <c r="B43" s="49" t="str">
        <f>'Secret. Escolar'!$B$43</f>
        <v/>
      </c>
      <c r="C43" s="49" t="str">
        <f>'Secret. Escolar'!$C$43</f>
        <v/>
      </c>
      <c r="D43" s="126"/>
      <c r="E43" s="126"/>
      <c r="F43" s="126"/>
      <c r="G43" s="126"/>
      <c r="H43" s="126"/>
      <c r="I43" s="126"/>
      <c r="J43" s="126"/>
      <c r="K43" s="162"/>
      <c r="L43" s="159">
        <f>SUM('Frequência 1º Bim'!AI43,'Frequência 2º Bim'!AI43)</f>
        <v>0</v>
      </c>
      <c r="M43" s="160" t="str">
        <f t="shared" si="1"/>
        <v/>
      </c>
    </row>
    <row r="44">
      <c r="A44" s="116">
        <v>39.0</v>
      </c>
      <c r="B44" s="49" t="str">
        <f>'Secret. Escolar'!$B$44</f>
        <v/>
      </c>
      <c r="C44" s="49" t="str">
        <f>'Secret. Escolar'!$C$44</f>
        <v/>
      </c>
      <c r="D44" s="126"/>
      <c r="E44" s="126"/>
      <c r="F44" s="126"/>
      <c r="G44" s="126"/>
      <c r="H44" s="126"/>
      <c r="I44" s="126"/>
      <c r="J44" s="126"/>
      <c r="K44" s="162"/>
      <c r="L44" s="159">
        <f>SUM('Frequência 1º Bim'!AI44,'Frequência 2º Bim'!AI44)</f>
        <v>0</v>
      </c>
      <c r="M44" s="160" t="str">
        <f t="shared" si="1"/>
        <v/>
      </c>
    </row>
    <row r="45">
      <c r="A45" s="116">
        <v>40.0</v>
      </c>
      <c r="B45" s="49" t="str">
        <f>'Secret. Escolar'!$B$45</f>
        <v/>
      </c>
      <c r="C45" s="49" t="str">
        <f>'Secret. Escolar'!$C$45</f>
        <v/>
      </c>
      <c r="D45" s="126"/>
      <c r="E45" s="126"/>
      <c r="F45" s="126"/>
      <c r="G45" s="126"/>
      <c r="H45" s="126"/>
      <c r="I45" s="126"/>
      <c r="J45" s="126"/>
      <c r="K45" s="162"/>
      <c r="L45" s="159">
        <f>SUM('Frequência 1º Bim'!AI45,'Frequência 2º Bim'!AI45)</f>
        <v>0</v>
      </c>
      <c r="M45" s="160" t="str">
        <f t="shared" si="1"/>
        <v/>
      </c>
    </row>
    <row r="46">
      <c r="A46" s="116">
        <v>41.0</v>
      </c>
      <c r="B46" s="49" t="str">
        <f>'Secret. Escolar'!$B$46</f>
        <v/>
      </c>
      <c r="C46" s="49" t="str">
        <f>'Secret. Escolar'!$C$46</f>
        <v/>
      </c>
      <c r="D46" s="126"/>
      <c r="E46" s="126"/>
      <c r="F46" s="126"/>
      <c r="G46" s="126"/>
      <c r="H46" s="126"/>
      <c r="I46" s="126"/>
      <c r="J46" s="126"/>
      <c r="K46" s="162"/>
      <c r="L46" s="159">
        <f>SUM('Frequência 1º Bim'!AI46,'Frequência 2º Bim'!AI46)</f>
        <v>0</v>
      </c>
      <c r="M46" s="160" t="str">
        <f t="shared" si="1"/>
        <v/>
      </c>
    </row>
    <row r="47">
      <c r="A47" s="116">
        <v>42.0</v>
      </c>
      <c r="B47" s="49" t="str">
        <f>'Secret. Escolar'!$B$47</f>
        <v/>
      </c>
      <c r="C47" s="49" t="str">
        <f>'Secret. Escolar'!$C$47</f>
        <v/>
      </c>
      <c r="D47" s="126"/>
      <c r="E47" s="126"/>
      <c r="F47" s="126"/>
      <c r="G47" s="126"/>
      <c r="H47" s="126"/>
      <c r="I47" s="126"/>
      <c r="J47" s="126"/>
      <c r="K47" s="162"/>
      <c r="L47" s="159">
        <f>SUM('Frequência 1º Bim'!AI47,'Frequência 2º Bim'!AI47)</f>
        <v>0</v>
      </c>
      <c r="M47" s="160" t="str">
        <f t="shared" si="1"/>
        <v/>
      </c>
    </row>
    <row r="48">
      <c r="A48" s="116">
        <v>43.0</v>
      </c>
      <c r="B48" s="49" t="str">
        <f>'Secret. Escolar'!$B$48</f>
        <v/>
      </c>
      <c r="C48" s="49" t="str">
        <f>'Secret. Escolar'!$C$48</f>
        <v/>
      </c>
      <c r="D48" s="126"/>
      <c r="E48" s="126"/>
      <c r="F48" s="126"/>
      <c r="G48" s="126"/>
      <c r="H48" s="126"/>
      <c r="I48" s="126"/>
      <c r="J48" s="126"/>
      <c r="K48" s="162"/>
      <c r="L48" s="159">
        <f>SUM('Frequência 1º Bim'!AI48,'Frequência 2º Bim'!AI48)</f>
        <v>0</v>
      </c>
      <c r="M48" s="160" t="str">
        <f t="shared" si="1"/>
        <v/>
      </c>
    </row>
    <row r="49">
      <c r="A49" s="116">
        <v>44.0</v>
      </c>
      <c r="B49" s="49" t="str">
        <f>'Secret. Escolar'!$B$49</f>
        <v/>
      </c>
      <c r="C49" s="49" t="str">
        <f>'Secret. Escolar'!$C$49</f>
        <v/>
      </c>
      <c r="D49" s="126"/>
      <c r="E49" s="126"/>
      <c r="F49" s="126"/>
      <c r="G49" s="126"/>
      <c r="H49" s="126"/>
      <c r="I49" s="126"/>
      <c r="J49" s="126"/>
      <c r="K49" s="162"/>
      <c r="L49" s="159">
        <f>SUM('Frequência 1º Bim'!AI49,'Frequência 2º Bim'!AI49)</f>
        <v>0</v>
      </c>
      <c r="M49" s="160" t="str">
        <f t="shared" si="1"/>
        <v/>
      </c>
    </row>
    <row r="50">
      <c r="A50" s="116">
        <v>45.0</v>
      </c>
      <c r="B50" s="49" t="str">
        <f>'Secret. Escolar'!$B$50</f>
        <v/>
      </c>
      <c r="C50" s="49" t="str">
        <f>'Secret. Escolar'!$C$50</f>
        <v/>
      </c>
      <c r="D50" s="126"/>
      <c r="E50" s="126"/>
      <c r="F50" s="126"/>
      <c r="G50" s="126"/>
      <c r="H50" s="126"/>
      <c r="I50" s="126"/>
      <c r="J50" s="126"/>
      <c r="K50" s="162"/>
      <c r="L50" s="159">
        <f>SUM('Frequência 1º Bim'!AI50,'Frequência 2º Bim'!AI50)</f>
        <v>0</v>
      </c>
      <c r="M50" s="160" t="str">
        <f t="shared" si="1"/>
        <v/>
      </c>
    </row>
    <row r="51">
      <c r="A51" s="116">
        <v>46.0</v>
      </c>
      <c r="B51" s="49" t="str">
        <f>'Secret. Escolar'!$B$51</f>
        <v/>
      </c>
      <c r="C51" s="49" t="str">
        <f>'Secret. Escolar'!$C$51</f>
        <v/>
      </c>
      <c r="D51" s="126"/>
      <c r="E51" s="126"/>
      <c r="F51" s="126"/>
      <c r="G51" s="126"/>
      <c r="H51" s="126"/>
      <c r="I51" s="126"/>
      <c r="J51" s="126"/>
      <c r="K51" s="162"/>
      <c r="L51" s="159">
        <f>SUM('Frequência 1º Bim'!AI51,'Frequência 2º Bim'!AI51)</f>
        <v>0</v>
      </c>
      <c r="M51" s="160" t="str">
        <f t="shared" si="1"/>
        <v/>
      </c>
    </row>
    <row r="52">
      <c r="A52" s="116">
        <v>47.0</v>
      </c>
      <c r="B52" s="49" t="str">
        <f>'Secret. Escolar'!$B$52</f>
        <v/>
      </c>
      <c r="C52" s="49" t="str">
        <f>'Secret. Escolar'!$C$52</f>
        <v/>
      </c>
      <c r="D52" s="126"/>
      <c r="E52" s="126"/>
      <c r="F52" s="126"/>
      <c r="G52" s="126"/>
      <c r="H52" s="126"/>
      <c r="I52" s="126"/>
      <c r="J52" s="126"/>
      <c r="K52" s="162"/>
      <c r="L52" s="159">
        <f>SUM('Frequência 1º Bim'!AI52,'Frequência 2º Bim'!AI52)</f>
        <v>0</v>
      </c>
      <c r="M52" s="160" t="str">
        <f t="shared" si="1"/>
        <v/>
      </c>
    </row>
    <row r="53">
      <c r="A53" s="116">
        <v>48.0</v>
      </c>
      <c r="B53" s="49" t="str">
        <f>'Secret. Escolar'!$B$53</f>
        <v/>
      </c>
      <c r="C53" s="49" t="str">
        <f>'Secret. Escolar'!$C$53</f>
        <v/>
      </c>
      <c r="D53" s="126"/>
      <c r="E53" s="126"/>
      <c r="F53" s="126"/>
      <c r="G53" s="126"/>
      <c r="H53" s="126"/>
      <c r="I53" s="126"/>
      <c r="J53" s="126"/>
      <c r="K53" s="162"/>
      <c r="L53" s="159">
        <f>SUM('Frequência 1º Bim'!AI53,'Frequência 2º Bim'!AI53)</f>
        <v>0</v>
      </c>
      <c r="M53" s="160" t="str">
        <f t="shared" si="1"/>
        <v/>
      </c>
    </row>
    <row r="54">
      <c r="A54" s="116">
        <v>49.0</v>
      </c>
      <c r="B54" s="49" t="str">
        <f>'Secret. Escolar'!$B$54</f>
        <v/>
      </c>
      <c r="C54" s="49" t="str">
        <f>'Secret. Escolar'!$C$54</f>
        <v/>
      </c>
      <c r="D54" s="126"/>
      <c r="E54" s="126"/>
      <c r="F54" s="126"/>
      <c r="G54" s="126"/>
      <c r="H54" s="126"/>
      <c r="I54" s="126"/>
      <c r="J54" s="126"/>
      <c r="K54" s="162"/>
      <c r="L54" s="159">
        <f>SUM('Frequência 1º Bim'!AI54,'Frequência 2º Bim'!AI54)</f>
        <v>0</v>
      </c>
      <c r="M54" s="160" t="str">
        <f t="shared" si="1"/>
        <v/>
      </c>
    </row>
    <row r="55">
      <c r="A55" s="116">
        <v>50.0</v>
      </c>
      <c r="B55" s="49" t="str">
        <f>'Secret. Escolar'!$B$55</f>
        <v/>
      </c>
      <c r="C55" s="49" t="str">
        <f>'Secret. Escolar'!$C$55</f>
        <v/>
      </c>
      <c r="D55" s="126"/>
      <c r="E55" s="126"/>
      <c r="F55" s="126"/>
      <c r="G55" s="126"/>
      <c r="H55" s="126"/>
      <c r="I55" s="126"/>
      <c r="J55" s="126"/>
      <c r="K55" s="162"/>
      <c r="L55" s="159">
        <f>SUM('Frequência 1º Bim'!AI55,'Frequência 2º Bim'!AI55)</f>
        <v>0</v>
      </c>
      <c r="M55" s="160" t="str">
        <f t="shared" si="1"/>
        <v/>
      </c>
    </row>
    <row r="56" ht="18.75" customHeight="1">
      <c r="A56" s="163" t="s">
        <v>109</v>
      </c>
      <c r="B56" s="164" t="s">
        <v>110</v>
      </c>
      <c r="C56" s="165" t="s">
        <v>111</v>
      </c>
      <c r="D56" s="165" t="s">
        <v>112</v>
      </c>
      <c r="E56" s="165" t="s">
        <v>113</v>
      </c>
      <c r="F56" s="165" t="s">
        <v>114</v>
      </c>
      <c r="G56" s="166" t="s">
        <v>115</v>
      </c>
      <c r="H56" s="15"/>
      <c r="I56" s="15"/>
      <c r="J56" s="15"/>
      <c r="K56" s="15"/>
      <c r="L56" s="15"/>
      <c r="M56" s="16"/>
    </row>
    <row r="57">
      <c r="A57" s="45"/>
      <c r="B57" s="45"/>
      <c r="C57" s="45"/>
      <c r="D57" s="45"/>
      <c r="E57" s="45"/>
      <c r="F57" s="45"/>
      <c r="G57" s="167" t="s">
        <v>116</v>
      </c>
      <c r="H57" s="15"/>
      <c r="I57" s="15"/>
      <c r="J57" s="15"/>
      <c r="K57" s="15"/>
      <c r="L57" s="15"/>
      <c r="M57" s="16"/>
    </row>
    <row r="58" ht="29.25" customHeight="1">
      <c r="A58" s="45"/>
      <c r="B58" s="45"/>
      <c r="C58" s="45"/>
      <c r="D58" s="45"/>
      <c r="E58" s="45"/>
      <c r="F58" s="45"/>
      <c r="G58" s="168"/>
      <c r="H58" s="15"/>
      <c r="I58" s="15"/>
      <c r="J58" s="15"/>
      <c r="K58" s="15"/>
      <c r="L58" s="15"/>
      <c r="M58" s="16"/>
    </row>
    <row r="59">
      <c r="A59" s="45"/>
      <c r="B59" s="45"/>
      <c r="C59" s="45"/>
      <c r="D59" s="45"/>
      <c r="E59" s="45"/>
      <c r="F59" s="45"/>
      <c r="G59" s="169" t="str">
        <f>"Professor(a): "&amp;Capa!G35</f>
        <v>Professor(a): ITAMAR VIEIRA NUNES</v>
      </c>
      <c r="H59" s="15"/>
      <c r="I59" s="15"/>
      <c r="J59" s="15"/>
      <c r="K59" s="15"/>
      <c r="L59" s="15"/>
      <c r="M59" s="16"/>
    </row>
    <row r="60" ht="33.0" customHeight="1">
      <c r="A60" s="45"/>
      <c r="B60" s="45"/>
      <c r="C60" s="45"/>
      <c r="D60" s="45"/>
      <c r="E60" s="45"/>
      <c r="F60" s="45"/>
      <c r="G60" s="170"/>
      <c r="H60" s="15"/>
      <c r="I60" s="15"/>
      <c r="J60" s="15"/>
      <c r="K60" s="15"/>
      <c r="L60" s="15"/>
      <c r="M60" s="16"/>
    </row>
    <row r="61">
      <c r="A61" s="45"/>
      <c r="B61" s="45"/>
      <c r="C61" s="45"/>
      <c r="D61" s="45"/>
      <c r="E61" s="45"/>
      <c r="F61" s="45"/>
      <c r="G61" s="171" t="s">
        <v>117</v>
      </c>
      <c r="H61" s="15"/>
      <c r="I61" s="15"/>
      <c r="J61" s="15"/>
      <c r="K61" s="15"/>
      <c r="L61" s="15"/>
      <c r="M61" s="16"/>
    </row>
    <row r="62">
      <c r="A62" s="48"/>
      <c r="B62" s="48"/>
      <c r="C62" s="48"/>
      <c r="D62" s="48"/>
      <c r="E62" s="48"/>
      <c r="F62" s="48"/>
      <c r="G62" s="167" t="s">
        <v>118</v>
      </c>
      <c r="H62" s="15"/>
      <c r="I62" s="15"/>
      <c r="J62" s="15"/>
      <c r="K62" s="15"/>
      <c r="L62" s="15"/>
      <c r="M62" s="16"/>
    </row>
    <row r="63">
      <c r="D63" s="172"/>
      <c r="E63" s="173"/>
      <c r="F63" s="173"/>
      <c r="G63" s="173"/>
      <c r="H63" s="173"/>
      <c r="I63" s="173"/>
      <c r="J63" s="173"/>
      <c r="K63" s="173"/>
    </row>
    <row r="64">
      <c r="D64" s="174"/>
      <c r="H64" s="174"/>
    </row>
    <row r="65">
      <c r="D65" s="174"/>
      <c r="H65" s="174"/>
    </row>
  </sheetData>
  <mergeCells count="27">
    <mergeCell ref="A1:C2"/>
    <mergeCell ref="D1:M1"/>
    <mergeCell ref="D2:M2"/>
    <mergeCell ref="A3:A5"/>
    <mergeCell ref="B3:B5"/>
    <mergeCell ref="L3:L5"/>
    <mergeCell ref="M3:M5"/>
    <mergeCell ref="F56:F62"/>
    <mergeCell ref="G56:M56"/>
    <mergeCell ref="G57:M57"/>
    <mergeCell ref="G58:M58"/>
    <mergeCell ref="G59:M59"/>
    <mergeCell ref="G60:M60"/>
    <mergeCell ref="G61:M61"/>
    <mergeCell ref="G62:M62"/>
    <mergeCell ref="D63:K63"/>
    <mergeCell ref="D64:G64"/>
    <mergeCell ref="H64:K64"/>
    <mergeCell ref="D65:G65"/>
    <mergeCell ref="H65:K65"/>
    <mergeCell ref="D3:K3"/>
    <mergeCell ref="D4:K4"/>
    <mergeCell ref="A56:A62"/>
    <mergeCell ref="B56:B62"/>
    <mergeCell ref="C56:C62"/>
    <mergeCell ref="D56:D62"/>
    <mergeCell ref="E56:E62"/>
  </mergeCell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colBreaks count="2" manualBreakCount="2">
    <brk man="1"/>
    <brk id="13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3.13"/>
    <col customWidth="1" min="5" max="5" width="2.63"/>
    <col customWidth="1" min="6" max="6" width="2.75"/>
    <col customWidth="1" min="7" max="7" width="2.88"/>
    <col customWidth="1" min="8" max="8" width="2.63"/>
    <col customWidth="1" min="9" max="10" width="2.88"/>
    <col customWidth="1" min="11" max="11" width="3.0"/>
    <col customWidth="1" min="12" max="12" width="2.88"/>
    <col customWidth="1" min="13" max="13" width="2.75"/>
    <col customWidth="1" min="14" max="14" width="3.13"/>
    <col customWidth="1" min="15" max="15" width="2.88"/>
    <col customWidth="1" min="16" max="16" width="3.0"/>
    <col customWidth="1" min="17" max="17" width="3.13"/>
    <col customWidth="1" min="18" max="18" width="2.88"/>
    <col customWidth="1" min="19" max="19" width="2.75"/>
    <col customWidth="1" min="20" max="21" width="3.0"/>
    <col customWidth="1" min="22" max="22" width="2.88"/>
    <col customWidth="1" min="23" max="23" width="3.0"/>
    <col customWidth="1" min="24" max="24" width="2.63"/>
    <col customWidth="1" min="25" max="27" width="2.75"/>
    <col customWidth="1" min="28" max="28" width="3.0"/>
    <col customWidth="1" min="29" max="34" width="2.38"/>
    <col customWidth="1" min="35" max="35" width="2.88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3º Bimestre"&amp;"                                                                    Professor(a): "&amp;Capa!G35</f>
        <v>Ano: 2°                Turma: D             Turno: Vespertino              Ano Letivo: 2026           3º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>
      <c r="A3" s="55" t="s">
        <v>56</v>
      </c>
      <c r="B3" s="56" t="str">
        <f>"Aulas Dadas: "&amp;COUNTA(E5:AH5)</f>
        <v>Aulas Dadas: 0</v>
      </c>
      <c r="C3" s="57" t="s">
        <v>57</v>
      </c>
      <c r="D3" s="58" t="s">
        <v>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ht="21.75" customHeight="1">
      <c r="A4" s="45"/>
      <c r="B4" s="48"/>
      <c r="C4" s="45"/>
      <c r="D4" s="59" t="s">
        <v>59</v>
      </c>
      <c r="E4" s="60">
        <v>1.0</v>
      </c>
      <c r="F4" s="60">
        <v>2.0</v>
      </c>
      <c r="G4" s="60">
        <v>3.0</v>
      </c>
      <c r="H4" s="60">
        <v>4.0</v>
      </c>
      <c r="I4" s="60">
        <v>5.0</v>
      </c>
      <c r="J4" s="60">
        <v>6.0</v>
      </c>
      <c r="K4" s="60">
        <v>7.0</v>
      </c>
      <c r="L4" s="60">
        <v>8.0</v>
      </c>
      <c r="M4" s="60">
        <v>9.0</v>
      </c>
      <c r="N4" s="60">
        <v>10.0</v>
      </c>
      <c r="O4" s="60">
        <v>11.0</v>
      </c>
      <c r="P4" s="60">
        <v>12.0</v>
      </c>
      <c r="Q4" s="60">
        <v>13.0</v>
      </c>
      <c r="R4" s="60">
        <v>14.0</v>
      </c>
      <c r="S4" s="60">
        <v>15.0</v>
      </c>
      <c r="T4" s="60">
        <v>16.0</v>
      </c>
      <c r="U4" s="60">
        <v>17.0</v>
      </c>
      <c r="V4" s="60">
        <v>18.0</v>
      </c>
      <c r="W4" s="60">
        <v>19.0</v>
      </c>
      <c r="X4" s="60">
        <v>20.0</v>
      </c>
      <c r="Y4" s="60">
        <v>21.0</v>
      </c>
      <c r="Z4" s="60">
        <v>22.0</v>
      </c>
      <c r="AA4" s="60">
        <v>23.0</v>
      </c>
      <c r="AB4" s="60">
        <v>24.0</v>
      </c>
      <c r="AC4" s="60">
        <v>25.0</v>
      </c>
      <c r="AD4" s="60">
        <v>26.0</v>
      </c>
      <c r="AE4" s="60">
        <v>27.0</v>
      </c>
      <c r="AF4" s="60">
        <v>28.0</v>
      </c>
      <c r="AG4" s="60">
        <v>29.0</v>
      </c>
      <c r="AH4" s="60">
        <v>30.0</v>
      </c>
      <c r="AI4" s="61" t="s">
        <v>60</v>
      </c>
    </row>
    <row r="5" ht="69.0" customHeight="1">
      <c r="A5" s="48"/>
      <c r="B5" s="62" t="s">
        <v>61</v>
      </c>
      <c r="C5" s="48"/>
      <c r="D5" s="21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7">
        <v>1.0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9"/>
      <c r="Y6" s="69"/>
      <c r="Z6" s="69"/>
      <c r="AA6" s="69"/>
      <c r="AB6" s="69"/>
      <c r="AC6" s="69"/>
      <c r="AD6" s="70"/>
      <c r="AE6" s="70"/>
      <c r="AF6" s="70"/>
      <c r="AG6" s="70"/>
      <c r="AH6" s="70"/>
      <c r="AI6" s="71">
        <f t="shared" ref="AI6:AI55" si="1">COUNTIF(E6:AH6,"f")</f>
        <v>0</v>
      </c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7">
        <v>2.0</v>
      </c>
      <c r="E7" s="68"/>
      <c r="F7" s="68"/>
      <c r="G7" s="68"/>
      <c r="H7" s="68"/>
      <c r="I7" s="68"/>
      <c r="J7" s="68"/>
      <c r="K7" s="68"/>
      <c r="L7" s="68"/>
      <c r="M7" s="69"/>
      <c r="N7" s="68"/>
      <c r="O7" s="68"/>
      <c r="P7" s="68"/>
      <c r="Q7" s="68"/>
      <c r="R7" s="68"/>
      <c r="S7" s="68"/>
      <c r="T7" s="68"/>
      <c r="U7" s="68"/>
      <c r="V7" s="68"/>
      <c r="W7" s="68"/>
      <c r="X7" s="69"/>
      <c r="Y7" s="68"/>
      <c r="Z7" s="69"/>
      <c r="AA7" s="69"/>
      <c r="AB7" s="69"/>
      <c r="AC7" s="69"/>
      <c r="AD7" s="70"/>
      <c r="AE7" s="70"/>
      <c r="AF7" s="70"/>
      <c r="AG7" s="70"/>
      <c r="AH7" s="70"/>
      <c r="AI7" s="71">
        <f t="shared" si="1"/>
        <v>0</v>
      </c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7">
        <v>3.0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  <c r="Y8" s="69"/>
      <c r="Z8" s="69"/>
      <c r="AA8" s="69"/>
      <c r="AB8" s="69"/>
      <c r="AC8" s="69"/>
      <c r="AD8" s="70"/>
      <c r="AE8" s="70"/>
      <c r="AF8" s="70"/>
      <c r="AG8" s="70"/>
      <c r="AH8" s="70"/>
      <c r="AI8" s="71">
        <f t="shared" si="1"/>
        <v>0</v>
      </c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7">
        <v>4.0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9"/>
      <c r="Y9" s="69"/>
      <c r="Z9" s="69"/>
      <c r="AA9" s="69"/>
      <c r="AB9" s="69"/>
      <c r="AC9" s="69"/>
      <c r="AD9" s="70"/>
      <c r="AE9" s="70"/>
      <c r="AF9" s="70"/>
      <c r="AG9" s="70"/>
      <c r="AH9" s="70"/>
      <c r="AI9" s="71">
        <f t="shared" si="1"/>
        <v>0</v>
      </c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7">
        <v>5.0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9"/>
      <c r="Y10" s="69"/>
      <c r="Z10" s="69"/>
      <c r="AA10" s="69"/>
      <c r="AB10" s="69"/>
      <c r="AC10" s="69"/>
      <c r="AD10" s="70"/>
      <c r="AE10" s="70"/>
      <c r="AF10" s="70"/>
      <c r="AG10" s="70"/>
      <c r="AH10" s="70"/>
      <c r="AI10" s="71">
        <f t="shared" si="1"/>
        <v>0</v>
      </c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7">
        <v>6.0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9"/>
      <c r="Y11" s="69"/>
      <c r="Z11" s="69"/>
      <c r="AA11" s="69"/>
      <c r="AB11" s="69"/>
      <c r="AC11" s="69"/>
      <c r="AD11" s="70"/>
      <c r="AE11" s="70"/>
      <c r="AF11" s="70"/>
      <c r="AG11" s="70"/>
      <c r="AH11" s="70"/>
      <c r="AI11" s="71">
        <f t="shared" si="1"/>
        <v>0</v>
      </c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7">
        <v>7.0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  <c r="Y12" s="69"/>
      <c r="Z12" s="69"/>
      <c r="AA12" s="69"/>
      <c r="AB12" s="69"/>
      <c r="AC12" s="69"/>
      <c r="AD12" s="70"/>
      <c r="AE12" s="70"/>
      <c r="AF12" s="70"/>
      <c r="AG12" s="70"/>
      <c r="AH12" s="70"/>
      <c r="AI12" s="71">
        <f t="shared" si="1"/>
        <v>0</v>
      </c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7">
        <v>8.0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9"/>
      <c r="Z13" s="69"/>
      <c r="AA13" s="69"/>
      <c r="AB13" s="69"/>
      <c r="AC13" s="69"/>
      <c r="AD13" s="70"/>
      <c r="AE13" s="70"/>
      <c r="AF13" s="70"/>
      <c r="AG13" s="70"/>
      <c r="AH13" s="70"/>
      <c r="AI13" s="71">
        <f t="shared" si="1"/>
        <v>0</v>
      </c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7">
        <v>9.0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  <c r="Y14" s="69"/>
      <c r="Z14" s="69"/>
      <c r="AA14" s="69"/>
      <c r="AB14" s="69"/>
      <c r="AC14" s="69"/>
      <c r="AD14" s="70"/>
      <c r="AE14" s="70"/>
      <c r="AF14" s="70"/>
      <c r="AG14" s="70"/>
      <c r="AH14" s="70"/>
      <c r="AI14" s="71">
        <f t="shared" si="1"/>
        <v>0</v>
      </c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7">
        <v>10.0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9"/>
      <c r="Y15" s="69"/>
      <c r="Z15" s="69"/>
      <c r="AA15" s="69"/>
      <c r="AB15" s="69"/>
      <c r="AC15" s="69"/>
      <c r="AD15" s="70"/>
      <c r="AE15" s="70"/>
      <c r="AF15" s="70"/>
      <c r="AG15" s="70"/>
      <c r="AH15" s="70"/>
      <c r="AI15" s="71">
        <f t="shared" si="1"/>
        <v>0</v>
      </c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7">
        <v>11.0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9"/>
      <c r="Y16" s="69"/>
      <c r="Z16" s="69"/>
      <c r="AA16" s="69"/>
      <c r="AB16" s="69"/>
      <c r="AC16" s="69"/>
      <c r="AD16" s="70"/>
      <c r="AE16" s="70"/>
      <c r="AF16" s="70"/>
      <c r="AG16" s="70"/>
      <c r="AH16" s="70"/>
      <c r="AI16" s="71">
        <f t="shared" si="1"/>
        <v>0</v>
      </c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7">
        <v>12.0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9"/>
      <c r="Y17" s="69"/>
      <c r="Z17" s="69"/>
      <c r="AA17" s="69"/>
      <c r="AB17" s="69"/>
      <c r="AC17" s="69"/>
      <c r="AD17" s="70"/>
      <c r="AE17" s="70"/>
      <c r="AF17" s="70"/>
      <c r="AG17" s="70"/>
      <c r="AH17" s="70"/>
      <c r="AI17" s="71">
        <f t="shared" si="1"/>
        <v>0</v>
      </c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7">
        <v>13.0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9"/>
      <c r="Y18" s="69"/>
      <c r="Z18" s="69"/>
      <c r="AA18" s="69"/>
      <c r="AB18" s="69"/>
      <c r="AC18" s="69"/>
      <c r="AD18" s="70"/>
      <c r="AE18" s="70"/>
      <c r="AF18" s="70"/>
      <c r="AG18" s="70"/>
      <c r="AH18" s="70"/>
      <c r="AI18" s="71">
        <f t="shared" si="1"/>
        <v>0</v>
      </c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7">
        <v>14.0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9"/>
      <c r="Y19" s="69"/>
      <c r="Z19" s="69"/>
      <c r="AA19" s="69"/>
      <c r="AB19" s="69"/>
      <c r="AC19" s="69"/>
      <c r="AD19" s="70"/>
      <c r="AE19" s="70"/>
      <c r="AF19" s="70"/>
      <c r="AG19" s="70"/>
      <c r="AH19" s="70"/>
      <c r="AI19" s="71">
        <f t="shared" si="1"/>
        <v>0</v>
      </c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7">
        <v>15.0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9"/>
      <c r="Y20" s="69"/>
      <c r="Z20" s="69"/>
      <c r="AA20" s="69"/>
      <c r="AB20" s="69"/>
      <c r="AC20" s="69"/>
      <c r="AD20" s="70"/>
      <c r="AE20" s="70"/>
      <c r="AF20" s="70"/>
      <c r="AG20" s="70"/>
      <c r="AH20" s="70"/>
      <c r="AI20" s="71">
        <f t="shared" si="1"/>
        <v>0</v>
      </c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7">
        <v>16.0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9"/>
      <c r="Y21" s="69"/>
      <c r="Z21" s="69"/>
      <c r="AA21" s="69"/>
      <c r="AB21" s="69"/>
      <c r="AC21" s="69"/>
      <c r="AD21" s="70"/>
      <c r="AE21" s="70"/>
      <c r="AF21" s="70"/>
      <c r="AG21" s="70"/>
      <c r="AH21" s="70"/>
      <c r="AI21" s="71">
        <f t="shared" si="1"/>
        <v>0</v>
      </c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7">
        <v>17.0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9"/>
      <c r="Y22" s="69"/>
      <c r="Z22" s="69"/>
      <c r="AA22" s="69"/>
      <c r="AB22" s="69"/>
      <c r="AC22" s="69"/>
      <c r="AD22" s="70"/>
      <c r="AE22" s="70"/>
      <c r="AF22" s="70"/>
      <c r="AG22" s="70"/>
      <c r="AH22" s="70"/>
      <c r="AI22" s="71">
        <f t="shared" si="1"/>
        <v>0</v>
      </c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7">
        <v>18.0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9"/>
      <c r="Y23" s="69"/>
      <c r="Z23" s="69"/>
      <c r="AA23" s="69"/>
      <c r="AB23" s="69"/>
      <c r="AC23" s="69"/>
      <c r="AD23" s="70"/>
      <c r="AE23" s="70"/>
      <c r="AF23" s="70"/>
      <c r="AG23" s="70"/>
      <c r="AH23" s="70"/>
      <c r="AI23" s="71">
        <f t="shared" si="1"/>
        <v>0</v>
      </c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7">
        <v>19.0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9"/>
      <c r="Y24" s="69"/>
      <c r="Z24" s="69"/>
      <c r="AA24" s="69"/>
      <c r="AB24" s="69"/>
      <c r="AC24" s="69"/>
      <c r="AD24" s="70"/>
      <c r="AE24" s="70"/>
      <c r="AF24" s="70"/>
      <c r="AG24" s="70"/>
      <c r="AH24" s="70"/>
      <c r="AI24" s="71">
        <f t="shared" si="1"/>
        <v>0</v>
      </c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7">
        <v>20.0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  <c r="Y25" s="69"/>
      <c r="Z25" s="69"/>
      <c r="AA25" s="69"/>
      <c r="AB25" s="69"/>
      <c r="AC25" s="69"/>
      <c r="AD25" s="70"/>
      <c r="AE25" s="70"/>
      <c r="AF25" s="70"/>
      <c r="AG25" s="70"/>
      <c r="AH25" s="70"/>
      <c r="AI25" s="71">
        <f t="shared" si="1"/>
        <v>0</v>
      </c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7">
        <v>21.0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9"/>
      <c r="Y26" s="69"/>
      <c r="Z26" s="69"/>
      <c r="AA26" s="69"/>
      <c r="AB26" s="69"/>
      <c r="AC26" s="69"/>
      <c r="AD26" s="70"/>
      <c r="AE26" s="70"/>
      <c r="AF26" s="70"/>
      <c r="AG26" s="70"/>
      <c r="AH26" s="70"/>
      <c r="AI26" s="71">
        <f t="shared" si="1"/>
        <v>0</v>
      </c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7">
        <v>22.0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9"/>
      <c r="Y27" s="69"/>
      <c r="Z27" s="69"/>
      <c r="AA27" s="69"/>
      <c r="AB27" s="69"/>
      <c r="AC27" s="69"/>
      <c r="AD27" s="70"/>
      <c r="AE27" s="70"/>
      <c r="AF27" s="70"/>
      <c r="AG27" s="70"/>
      <c r="AH27" s="70"/>
      <c r="AI27" s="71">
        <f t="shared" si="1"/>
        <v>0</v>
      </c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7">
        <v>23.0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9"/>
      <c r="Y28" s="69"/>
      <c r="Z28" s="69"/>
      <c r="AA28" s="69"/>
      <c r="AB28" s="69"/>
      <c r="AC28" s="69"/>
      <c r="AD28" s="70"/>
      <c r="AE28" s="70"/>
      <c r="AF28" s="70"/>
      <c r="AG28" s="70"/>
      <c r="AH28" s="70"/>
      <c r="AI28" s="71">
        <f t="shared" si="1"/>
        <v>0</v>
      </c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7">
        <v>24.0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9"/>
      <c r="Y29" s="69"/>
      <c r="Z29" s="69"/>
      <c r="AA29" s="69"/>
      <c r="AB29" s="69"/>
      <c r="AC29" s="69"/>
      <c r="AD29" s="70"/>
      <c r="AE29" s="70"/>
      <c r="AF29" s="70"/>
      <c r="AG29" s="70"/>
      <c r="AH29" s="70"/>
      <c r="AI29" s="71">
        <f t="shared" si="1"/>
        <v>0</v>
      </c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7">
        <v>25.0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9"/>
      <c r="Y30" s="69"/>
      <c r="Z30" s="69"/>
      <c r="AA30" s="69"/>
      <c r="AB30" s="69"/>
      <c r="AC30" s="68"/>
      <c r="AD30" s="60"/>
      <c r="AE30" s="60"/>
      <c r="AF30" s="60"/>
      <c r="AG30" s="60"/>
      <c r="AH30" s="60"/>
      <c r="AI30" s="71">
        <f t="shared" si="1"/>
        <v>0</v>
      </c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7">
        <v>26.0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9"/>
      <c r="Y31" s="69"/>
      <c r="Z31" s="69"/>
      <c r="AA31" s="69"/>
      <c r="AB31" s="69"/>
      <c r="AC31" s="69"/>
      <c r="AD31" s="70"/>
      <c r="AE31" s="70"/>
      <c r="AF31" s="70"/>
      <c r="AG31" s="70"/>
      <c r="AH31" s="70"/>
      <c r="AI31" s="71">
        <f t="shared" si="1"/>
        <v>0</v>
      </c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7">
        <v>27.0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9"/>
      <c r="Y32" s="69"/>
      <c r="Z32" s="69"/>
      <c r="AA32" s="69"/>
      <c r="AB32" s="69"/>
      <c r="AC32" s="69"/>
      <c r="AD32" s="70"/>
      <c r="AE32" s="70"/>
      <c r="AF32" s="70"/>
      <c r="AG32" s="70"/>
      <c r="AH32" s="70"/>
      <c r="AI32" s="71">
        <f t="shared" si="1"/>
        <v>0</v>
      </c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7">
        <v>28.0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69"/>
      <c r="Z33" s="69"/>
      <c r="AA33" s="69"/>
      <c r="AB33" s="69"/>
      <c r="AC33" s="69"/>
      <c r="AD33" s="70"/>
      <c r="AE33" s="70"/>
      <c r="AF33" s="70"/>
      <c r="AG33" s="70"/>
      <c r="AH33" s="70"/>
      <c r="AI33" s="71">
        <f t="shared" si="1"/>
        <v>0</v>
      </c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7">
        <v>29.0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70"/>
      <c r="AE34" s="70"/>
      <c r="AF34" s="70"/>
      <c r="AG34" s="70"/>
      <c r="AH34" s="70"/>
      <c r="AI34" s="71">
        <f t="shared" si="1"/>
        <v>0</v>
      </c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7">
        <v>30.0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70"/>
      <c r="AE35" s="70"/>
      <c r="AF35" s="70"/>
      <c r="AG35" s="70"/>
      <c r="AH35" s="70"/>
      <c r="AI35" s="71">
        <f t="shared" si="1"/>
        <v>0</v>
      </c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7">
        <v>31.0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70"/>
      <c r="AE36" s="70"/>
      <c r="AF36" s="70"/>
      <c r="AG36" s="70"/>
      <c r="AH36" s="70"/>
      <c r="AI36" s="71">
        <f t="shared" si="1"/>
        <v>0</v>
      </c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7">
        <v>32.0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0"/>
      <c r="AE37" s="70"/>
      <c r="AF37" s="70"/>
      <c r="AG37" s="70"/>
      <c r="AH37" s="70"/>
      <c r="AI37" s="71">
        <f t="shared" si="1"/>
        <v>0</v>
      </c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7">
        <v>33.0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70"/>
      <c r="AE38" s="70"/>
      <c r="AF38" s="70"/>
      <c r="AG38" s="70"/>
      <c r="AH38" s="70"/>
      <c r="AI38" s="71">
        <f t="shared" si="1"/>
        <v>0</v>
      </c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7">
        <v>34.0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70"/>
      <c r="AE39" s="70"/>
      <c r="AF39" s="70"/>
      <c r="AG39" s="70"/>
      <c r="AH39" s="70"/>
      <c r="AI39" s="71">
        <f t="shared" si="1"/>
        <v>0</v>
      </c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7">
        <v>35.0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70"/>
      <c r="AE40" s="70"/>
      <c r="AF40" s="70"/>
      <c r="AG40" s="70"/>
      <c r="AH40" s="70"/>
      <c r="AI40" s="71">
        <f t="shared" si="1"/>
        <v>0</v>
      </c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7">
        <v>36.0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70"/>
      <c r="AE41" s="70"/>
      <c r="AF41" s="70"/>
      <c r="AG41" s="70"/>
      <c r="AH41" s="70"/>
      <c r="AI41" s="71">
        <f t="shared" si="1"/>
        <v>0</v>
      </c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7">
        <v>37.0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70"/>
      <c r="AE42" s="70"/>
      <c r="AF42" s="70"/>
      <c r="AG42" s="70"/>
      <c r="AH42" s="70"/>
      <c r="AI42" s="71">
        <f t="shared" si="1"/>
        <v>0</v>
      </c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7">
        <v>38.0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70"/>
      <c r="AE43" s="70"/>
      <c r="AF43" s="70"/>
      <c r="AG43" s="70"/>
      <c r="AH43" s="70"/>
      <c r="AI43" s="71">
        <f t="shared" si="1"/>
        <v>0</v>
      </c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7">
        <v>39.0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70"/>
      <c r="AE44" s="70"/>
      <c r="AF44" s="70"/>
      <c r="AG44" s="70"/>
      <c r="AH44" s="70"/>
      <c r="AI44" s="71">
        <f t="shared" si="1"/>
        <v>0</v>
      </c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7">
        <v>40.0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70"/>
      <c r="AE45" s="70"/>
      <c r="AF45" s="70"/>
      <c r="AG45" s="70"/>
      <c r="AH45" s="70"/>
      <c r="AI45" s="71">
        <f t="shared" si="1"/>
        <v>0</v>
      </c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7">
        <v>41.0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70"/>
      <c r="AE46" s="70"/>
      <c r="AF46" s="70"/>
      <c r="AG46" s="70"/>
      <c r="AH46" s="70"/>
      <c r="AI46" s="71">
        <f t="shared" si="1"/>
        <v>0</v>
      </c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7">
        <v>42.0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70"/>
      <c r="AE47" s="70"/>
      <c r="AF47" s="70"/>
      <c r="AG47" s="70"/>
      <c r="AH47" s="70"/>
      <c r="AI47" s="71">
        <f t="shared" si="1"/>
        <v>0</v>
      </c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7">
        <v>43.0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70"/>
      <c r="AE48" s="70"/>
      <c r="AF48" s="70"/>
      <c r="AG48" s="70"/>
      <c r="AH48" s="70"/>
      <c r="AI48" s="71">
        <f t="shared" si="1"/>
        <v>0</v>
      </c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7">
        <v>44.0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70"/>
      <c r="AE49" s="70"/>
      <c r="AF49" s="70"/>
      <c r="AG49" s="70"/>
      <c r="AH49" s="70"/>
      <c r="AI49" s="71">
        <f t="shared" si="1"/>
        <v>0</v>
      </c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7">
        <v>45.0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70"/>
      <c r="AE50" s="70"/>
      <c r="AF50" s="70"/>
      <c r="AG50" s="70"/>
      <c r="AH50" s="70"/>
      <c r="AI50" s="71">
        <f t="shared" si="1"/>
        <v>0</v>
      </c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7">
        <v>46.0</v>
      </c>
      <c r="E51" s="68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70"/>
      <c r="AE51" s="70"/>
      <c r="AF51" s="70"/>
      <c r="AG51" s="70"/>
      <c r="AH51" s="70"/>
      <c r="AI51" s="71">
        <f t="shared" si="1"/>
        <v>0</v>
      </c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7">
        <v>47.0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70"/>
      <c r="AE52" s="70"/>
      <c r="AF52" s="70"/>
      <c r="AG52" s="70"/>
      <c r="AH52" s="70"/>
      <c r="AI52" s="71">
        <f t="shared" si="1"/>
        <v>0</v>
      </c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7">
        <v>48.0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70"/>
      <c r="AE53" s="70"/>
      <c r="AF53" s="70"/>
      <c r="AG53" s="70"/>
      <c r="AH53" s="70"/>
      <c r="AI53" s="71">
        <f t="shared" si="1"/>
        <v>0</v>
      </c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7">
        <v>49.0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70"/>
      <c r="AE54" s="70"/>
      <c r="AF54" s="70"/>
      <c r="AG54" s="70"/>
      <c r="AH54" s="70"/>
      <c r="AI54" s="71">
        <f t="shared" si="1"/>
        <v>0</v>
      </c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7">
        <v>50.0</v>
      </c>
      <c r="E55" s="68"/>
      <c r="F55" s="68"/>
      <c r="G55" s="68"/>
      <c r="H55" s="68"/>
      <c r="I55" s="68"/>
      <c r="J55" s="68"/>
      <c r="K55" s="68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70"/>
      <c r="AE55" s="70"/>
      <c r="AF55" s="70"/>
      <c r="AG55" s="70"/>
      <c r="AH55" s="70"/>
      <c r="AI55" s="71">
        <f t="shared" si="1"/>
        <v>0</v>
      </c>
    </row>
  </sheetData>
  <mergeCells count="8">
    <mergeCell ref="A1:C2"/>
    <mergeCell ref="D1:AI2"/>
    <mergeCell ref="A3:A5"/>
    <mergeCell ref="B3:B4"/>
    <mergeCell ref="C3:C5"/>
    <mergeCell ref="D3:AI3"/>
    <mergeCell ref="D4:D5"/>
    <mergeCell ref="AI4:AI5"/>
  </mergeCells>
  <printOptions horizontalCentered="1"/>
  <pageMargins bottom="0.19685039370078738" footer="0.0" header="0.0" left="0.19685039370078738" right="0.19685039370078738" top="0.516732283464567"/>
  <pageSetup paperSize="9" cellComments="atEnd" orientation="portrait" pageOrder="overThenDown"/>
  <colBreaks count="2" manualBreakCount="2">
    <brk man="1"/>
    <brk id="35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8.0"/>
    <col customWidth="1" min="3" max="3" width="17.5"/>
    <col customWidth="1" min="4" max="4" width="61.0"/>
  </cols>
  <sheetData>
    <row r="1" ht="57.75" customHeight="1">
      <c r="A1" s="72" t="s">
        <v>59</v>
      </c>
      <c r="B1" s="86" t="str">
        <f>'Frequência 3º Bim'!F3</f>
        <v/>
      </c>
      <c r="C1" s="74" t="s">
        <v>65</v>
      </c>
      <c r="D1" s="68" t="s">
        <v>66</v>
      </c>
    </row>
    <row r="2">
      <c r="A2" s="75">
        <v>1.0</v>
      </c>
      <c r="B2" s="86" t="str">
        <f>'Frequência 3º Bim'!E5</f>
        <v/>
      </c>
      <c r="C2" s="77"/>
      <c r="D2" s="78"/>
    </row>
    <row r="3">
      <c r="A3" s="75">
        <v>2.0</v>
      </c>
      <c r="B3" s="86" t="str">
        <f>'Frequência 3º Bim'!F5</f>
        <v/>
      </c>
      <c r="C3" s="77"/>
      <c r="D3" s="78"/>
    </row>
    <row r="4">
      <c r="A4" s="75">
        <v>3.0</v>
      </c>
      <c r="B4" s="86" t="str">
        <f>'Frequência 3º Bim'!G5</f>
        <v/>
      </c>
      <c r="C4" s="77"/>
      <c r="D4" s="78"/>
    </row>
    <row r="5">
      <c r="A5" s="75">
        <v>4.0</v>
      </c>
      <c r="B5" s="86" t="str">
        <f>'Frequência 3º Bim'!H5</f>
        <v/>
      </c>
      <c r="C5" s="77"/>
      <c r="D5" s="78"/>
    </row>
    <row r="6">
      <c r="A6" s="75">
        <v>5.0</v>
      </c>
      <c r="B6" s="86" t="str">
        <f>'Frequência 3º Bim'!I5</f>
        <v/>
      </c>
      <c r="C6" s="77"/>
      <c r="D6" s="78"/>
    </row>
    <row r="7">
      <c r="A7" s="75">
        <v>6.0</v>
      </c>
      <c r="B7" s="86" t="str">
        <f>'Frequência 3º Bim'!J5</f>
        <v/>
      </c>
      <c r="C7" s="77"/>
      <c r="D7" s="80"/>
    </row>
    <row r="8">
      <c r="A8" s="75">
        <v>7.0</v>
      </c>
      <c r="B8" s="86" t="str">
        <f>'Frequência 3º Bim'!K5</f>
        <v/>
      </c>
      <c r="C8" s="77"/>
      <c r="D8" s="81"/>
    </row>
    <row r="9">
      <c r="A9" s="75">
        <v>8.0</v>
      </c>
      <c r="B9" s="86" t="str">
        <f>'Frequência 3º Bim'!L5</f>
        <v/>
      </c>
      <c r="C9" s="77"/>
      <c r="D9" s="80"/>
    </row>
    <row r="10">
      <c r="A10" s="75">
        <v>9.0</v>
      </c>
      <c r="B10" s="86" t="str">
        <f>'Frequência 3º Bim'!M5</f>
        <v/>
      </c>
      <c r="C10" s="77"/>
      <c r="D10" s="80"/>
    </row>
    <row r="11">
      <c r="A11" s="75">
        <v>10.0</v>
      </c>
      <c r="B11" s="86" t="str">
        <f>'Frequência 3º Bim'!N5</f>
        <v/>
      </c>
      <c r="C11" s="77"/>
      <c r="D11" s="82"/>
    </row>
    <row r="12">
      <c r="A12" s="75">
        <v>11.0</v>
      </c>
      <c r="B12" s="86" t="str">
        <f>'Frequência 3º Bim'!O5</f>
        <v/>
      </c>
      <c r="C12" s="77"/>
      <c r="D12" s="83"/>
    </row>
    <row r="13">
      <c r="A13" s="75">
        <v>12.0</v>
      </c>
      <c r="B13" s="86" t="str">
        <f>'Frequência 3º Bim'!P5</f>
        <v/>
      </c>
      <c r="C13" s="77"/>
      <c r="D13" s="83"/>
    </row>
    <row r="14">
      <c r="A14" s="75">
        <v>13.0</v>
      </c>
      <c r="B14" s="86" t="str">
        <f>'Frequência 3º Bim'!Q5</f>
        <v/>
      </c>
      <c r="C14" s="77"/>
      <c r="D14" s="84"/>
    </row>
    <row r="15">
      <c r="A15" s="75">
        <v>14.0</v>
      </c>
      <c r="B15" s="86" t="str">
        <f>'Frequência 3º Bim'!R5</f>
        <v/>
      </c>
      <c r="C15" s="77"/>
      <c r="D15" s="85"/>
    </row>
    <row r="16">
      <c r="A16" s="75">
        <v>15.0</v>
      </c>
      <c r="B16" s="86" t="str">
        <f>'Frequência 3º Bim'!S5</f>
        <v/>
      </c>
      <c r="C16" s="77"/>
      <c r="D16" s="84"/>
    </row>
    <row r="17">
      <c r="A17" s="75">
        <v>16.0</v>
      </c>
      <c r="B17" s="86" t="str">
        <f>'Frequência 3º Bim'!T5</f>
        <v/>
      </c>
      <c r="C17" s="77"/>
      <c r="D17" s="84"/>
    </row>
    <row r="18">
      <c r="A18" s="75">
        <v>17.0</v>
      </c>
      <c r="B18" s="86" t="str">
        <f>'Frequência 3º Bim'!U5</f>
        <v/>
      </c>
      <c r="C18" s="77"/>
      <c r="D18" s="84"/>
    </row>
    <row r="19">
      <c r="A19" s="75">
        <v>18.0</v>
      </c>
      <c r="B19" s="86" t="str">
        <f>'Frequência 3º Bim'!V5</f>
        <v/>
      </c>
      <c r="C19" s="77"/>
      <c r="D19" s="84"/>
    </row>
    <row r="20">
      <c r="A20" s="75">
        <v>19.0</v>
      </c>
      <c r="B20" s="86" t="str">
        <f>'Frequência 3º Bim'!W5</f>
        <v/>
      </c>
      <c r="C20" s="77"/>
      <c r="D20" s="84"/>
    </row>
    <row r="21">
      <c r="A21" s="75">
        <v>20.0</v>
      </c>
      <c r="B21" s="86" t="str">
        <f>'Frequência 3º Bim'!X5</f>
        <v/>
      </c>
      <c r="C21" s="77"/>
      <c r="D21" s="84"/>
    </row>
    <row r="22">
      <c r="A22" s="75">
        <v>21.0</v>
      </c>
      <c r="B22" s="86" t="str">
        <f>'Frequência 3º Bim'!Y5</f>
        <v/>
      </c>
      <c r="C22" s="77"/>
      <c r="D22" s="84"/>
    </row>
    <row r="23">
      <c r="A23" s="75">
        <v>22.0</v>
      </c>
      <c r="B23" s="86" t="str">
        <f>'Frequência 3º Bim'!Z5</f>
        <v/>
      </c>
      <c r="C23" s="77"/>
      <c r="D23" s="84"/>
    </row>
    <row r="24">
      <c r="A24" s="75">
        <v>23.0</v>
      </c>
      <c r="B24" s="86" t="str">
        <f>'Frequência 3º Bim'!AA5</f>
        <v/>
      </c>
      <c r="C24" s="77"/>
      <c r="D24" s="84"/>
    </row>
    <row r="25">
      <c r="A25" s="75">
        <v>24.0</v>
      </c>
      <c r="B25" s="86" t="str">
        <f>'Frequência 3º Bim'!AB5</f>
        <v/>
      </c>
      <c r="C25" s="77"/>
      <c r="D25" s="84"/>
    </row>
    <row r="26">
      <c r="A26" s="75">
        <v>25.0</v>
      </c>
      <c r="B26" s="86" t="str">
        <f>'Frequência 3º Bim'!AC5</f>
        <v/>
      </c>
      <c r="C26" s="77"/>
      <c r="D26" s="87"/>
    </row>
    <row r="27">
      <c r="A27" s="75">
        <v>26.0</v>
      </c>
      <c r="B27" s="86" t="str">
        <f>'Frequência 3º Bim'!AD5</f>
        <v/>
      </c>
      <c r="C27" s="77"/>
      <c r="D27" s="88"/>
    </row>
    <row r="28">
      <c r="A28" s="75">
        <v>27.0</v>
      </c>
      <c r="B28" s="86" t="str">
        <f>'Frequência 3º Bim'!AE5</f>
        <v/>
      </c>
      <c r="C28" s="77"/>
      <c r="D28" s="87"/>
    </row>
    <row r="29">
      <c r="A29" s="75">
        <v>28.0</v>
      </c>
      <c r="B29" s="86" t="str">
        <f>'Frequência 3º Bim'!AF5</f>
        <v/>
      </c>
      <c r="C29" s="77"/>
      <c r="D29" s="87"/>
    </row>
    <row r="30">
      <c r="A30" s="75">
        <v>29.0</v>
      </c>
      <c r="B30" s="86" t="str">
        <f>'Frequência 3º Bim'!AG5</f>
        <v/>
      </c>
      <c r="C30" s="77"/>
      <c r="D30" s="87"/>
    </row>
    <row r="31">
      <c r="A31" s="75">
        <v>30.0</v>
      </c>
      <c r="B31" s="86" t="str">
        <f>'Frequência 3º Bim'!AH5</f>
        <v/>
      </c>
      <c r="C31" s="77"/>
      <c r="D31" s="87"/>
    </row>
    <row r="32">
      <c r="A32" s="90" t="s">
        <v>67</v>
      </c>
      <c r="B32" s="15"/>
      <c r="C32" s="15"/>
      <c r="D32" s="15"/>
    </row>
    <row r="33" ht="35.25" customHeight="1">
      <c r="A33" s="91" t="s">
        <v>68</v>
      </c>
      <c r="C33" s="92">
        <v>20.0</v>
      </c>
      <c r="D33" s="93"/>
    </row>
    <row r="34" ht="18.0" customHeight="1">
      <c r="A34" s="94"/>
      <c r="C34" s="45"/>
      <c r="D34" s="95" t="s">
        <v>69</v>
      </c>
    </row>
    <row r="35" ht="18.0" customHeight="1">
      <c r="A35" s="94"/>
      <c r="C35" s="45"/>
      <c r="D35" s="95" t="str">
        <f>"Professor(a): "&amp;Capa!G35</f>
        <v>Professor(a): ITAMAR VIEIRA NUNES</v>
      </c>
    </row>
    <row r="36" ht="18.0" customHeight="1">
      <c r="A36" s="96"/>
      <c r="B36" s="20"/>
      <c r="C36" s="48"/>
      <c r="D36" s="95" t="s">
        <v>70</v>
      </c>
    </row>
    <row r="37" ht="40.5" customHeight="1">
      <c r="A37" s="91" t="s">
        <v>71</v>
      </c>
      <c r="C37" s="92">
        <f>COUNTA('Frequência 3º Bim'!E5:AH5)</f>
        <v>0</v>
      </c>
      <c r="D37" s="93"/>
    </row>
    <row r="38" ht="29.25" customHeight="1">
      <c r="A38" s="96"/>
      <c r="B38" s="20"/>
      <c r="C38" s="48"/>
      <c r="D38" s="93" t="s">
        <v>72</v>
      </c>
    </row>
  </sheetData>
  <mergeCells count="5">
    <mergeCell ref="A32:D32"/>
    <mergeCell ref="A33:B36"/>
    <mergeCell ref="C33:C36"/>
    <mergeCell ref="A37:B38"/>
    <mergeCell ref="C37:C38"/>
  </mergeCells>
  <dataValidations>
    <dataValidation type="list" allowBlank="1" showErrorMessage="1" sqref="C2:C31">
      <formula1>"Danças,Brinc. e Jogos,Ginásticas,Esportes,Lutas,Vida e Saúde"</formula1>
    </dataValidation>
  </dataValidation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52.0"/>
    <col customWidth="1" min="5" max="5" width="81.75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3º Bimestre"&amp;"                                                                    Professor(a): "&amp;Capa!G35</f>
        <v>Ano: 2°                Turma: D             Turno: Vespertino              Ano Letivo: 2026           3º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</row>
    <row r="3">
      <c r="A3" s="55" t="s">
        <v>56</v>
      </c>
      <c r="B3" s="56" t="str">
        <f>"Aulas Dadas: "&amp;COUNTA('Frequência 3º Bim'!$E$5:$AH$5)</f>
        <v>Aulas Dadas: 0</v>
      </c>
      <c r="C3" s="57" t="s">
        <v>57</v>
      </c>
      <c r="D3" s="97" t="s">
        <v>73</v>
      </c>
      <c r="E3" s="97" t="s">
        <v>74</v>
      </c>
    </row>
    <row r="4" ht="21.75" customHeight="1">
      <c r="A4" s="45"/>
      <c r="B4" s="48"/>
      <c r="C4" s="45"/>
      <c r="D4" s="45"/>
      <c r="E4" s="45"/>
    </row>
    <row r="5" ht="69.0" customHeight="1">
      <c r="A5" s="48"/>
      <c r="B5" s="62" t="s">
        <v>61</v>
      </c>
      <c r="C5" s="48"/>
      <c r="D5" s="48"/>
      <c r="E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8"/>
      <c r="E6" s="68"/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8"/>
      <c r="E7" s="68"/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8"/>
      <c r="E8" s="68"/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8"/>
      <c r="E9" s="68"/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8"/>
      <c r="E10" s="68"/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8"/>
      <c r="E11" s="68"/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8"/>
      <c r="E12" s="68"/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8"/>
      <c r="E13" s="68"/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8"/>
      <c r="E14" s="68"/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8"/>
      <c r="E15" s="68"/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8"/>
      <c r="E16" s="68"/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8"/>
      <c r="E17" s="68"/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8"/>
      <c r="E18" s="68"/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8"/>
      <c r="E19" s="68"/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8"/>
      <c r="E20" s="68"/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8"/>
      <c r="E21" s="68"/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8"/>
      <c r="E22" s="68"/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8"/>
      <c r="E23" s="68"/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8"/>
      <c r="E24" s="68"/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8"/>
      <c r="E25" s="68"/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8"/>
      <c r="E26" s="68"/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8"/>
      <c r="E27" s="68"/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8"/>
      <c r="E28" s="68"/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8"/>
      <c r="E29" s="68"/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8"/>
      <c r="E30" s="68"/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8"/>
      <c r="E31" s="68"/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8"/>
      <c r="E32" s="68"/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8"/>
      <c r="E33" s="68"/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9"/>
      <c r="E34" s="69"/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9"/>
      <c r="E35" s="69"/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9"/>
      <c r="E36" s="69"/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9"/>
      <c r="E37" s="69"/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9"/>
      <c r="E38" s="69"/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9"/>
      <c r="E39" s="69"/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9"/>
      <c r="E40" s="69"/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9"/>
      <c r="E41" s="69"/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9"/>
      <c r="E42" s="69"/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9"/>
      <c r="E43" s="69"/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9"/>
      <c r="E44" s="69"/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9"/>
      <c r="E45" s="69"/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9"/>
      <c r="E46" s="69"/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9"/>
      <c r="E47" s="69"/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9"/>
      <c r="E48" s="69"/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9"/>
      <c r="E49" s="69"/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9"/>
      <c r="E50" s="69"/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9"/>
      <c r="E51" s="69"/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9"/>
      <c r="E52" s="69"/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9"/>
      <c r="E53" s="69"/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9"/>
      <c r="E54" s="69"/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9"/>
      <c r="E55" s="69"/>
    </row>
    <row r="57" ht="33.0" customHeight="1"/>
    <row r="58">
      <c r="B58" s="100" t="str">
        <f>"Professor(a): "&amp;Capa!G35</f>
        <v>Professor(a): ITAMAR VIEIRA NUNES</v>
      </c>
      <c r="D58" s="101" t="s">
        <v>75</v>
      </c>
    </row>
    <row r="59">
      <c r="D59" s="9" t="s">
        <v>76</v>
      </c>
    </row>
  </sheetData>
  <mergeCells count="7">
    <mergeCell ref="A1:C2"/>
    <mergeCell ref="D1:E2"/>
    <mergeCell ref="A3:A5"/>
    <mergeCell ref="B3:B4"/>
    <mergeCell ref="C3:C5"/>
    <mergeCell ref="D3:D5"/>
    <mergeCell ref="E3:E5"/>
  </mergeCells>
  <printOptions horizontalCentered="1"/>
  <pageMargins bottom="0.19685039370078738" footer="0.0" header="0.0" left="0.19685039370078738" right="0.19685039370078738" top="0.48339471678943363"/>
  <pageSetup paperSize="9" cellComments="atEnd" orientation="portrait" pageOrder="overThenDown"/>
  <colBreaks count="2" manualBreakCount="2">
    <brk man="1"/>
    <brk id="5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3.13"/>
    <col customWidth="1" min="5" max="5" width="2.63"/>
    <col customWidth="1" min="6" max="6" width="2.75"/>
    <col customWidth="1" min="7" max="7" width="2.88"/>
    <col customWidth="1" min="8" max="8" width="2.63"/>
    <col customWidth="1" min="9" max="10" width="2.88"/>
    <col customWidth="1" min="11" max="11" width="3.0"/>
    <col customWidth="1" min="12" max="12" width="2.88"/>
    <col customWidth="1" min="13" max="13" width="2.75"/>
    <col customWidth="1" min="14" max="14" width="3.13"/>
    <col customWidth="1" min="15" max="15" width="2.88"/>
    <col customWidth="1" min="16" max="16" width="3.0"/>
    <col customWidth="1" min="17" max="17" width="3.13"/>
    <col customWidth="1" min="18" max="18" width="2.88"/>
    <col customWidth="1" min="19" max="19" width="2.75"/>
    <col customWidth="1" min="20" max="21" width="3.0"/>
    <col customWidth="1" min="22" max="22" width="2.88"/>
    <col customWidth="1" min="23" max="23" width="3.0"/>
    <col customWidth="1" min="24" max="24" width="2.63"/>
    <col customWidth="1" min="25" max="27" width="2.75"/>
    <col customWidth="1" min="28" max="28" width="3.0"/>
    <col customWidth="1" min="29" max="34" width="2.38"/>
    <col customWidth="1" min="35" max="35" width="2.88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4º Bimestre"&amp;"                                                                    Professor(a): "&amp;Capa!G35</f>
        <v>Ano: 2°                Turma: D             Turno: Vespertino              Ano Letivo: 2026           4º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>
      <c r="A3" s="55" t="s">
        <v>56</v>
      </c>
      <c r="B3" s="56" t="str">
        <f>"Aulas Dadas: "&amp;COUNTA(E5:AH5)</f>
        <v>Aulas Dadas: 0</v>
      </c>
      <c r="C3" s="57" t="s">
        <v>57</v>
      </c>
      <c r="D3" s="58" t="s">
        <v>58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ht="21.75" customHeight="1">
      <c r="A4" s="45"/>
      <c r="B4" s="48"/>
      <c r="C4" s="45"/>
      <c r="D4" s="59" t="s">
        <v>59</v>
      </c>
      <c r="E4" s="60">
        <v>1.0</v>
      </c>
      <c r="F4" s="60">
        <v>2.0</v>
      </c>
      <c r="G4" s="60">
        <v>3.0</v>
      </c>
      <c r="H4" s="60">
        <v>4.0</v>
      </c>
      <c r="I4" s="60">
        <v>5.0</v>
      </c>
      <c r="J4" s="60">
        <v>6.0</v>
      </c>
      <c r="K4" s="60">
        <v>7.0</v>
      </c>
      <c r="L4" s="60">
        <v>8.0</v>
      </c>
      <c r="M4" s="60">
        <v>9.0</v>
      </c>
      <c r="N4" s="60">
        <v>10.0</v>
      </c>
      <c r="O4" s="60">
        <v>11.0</v>
      </c>
      <c r="P4" s="60">
        <v>12.0</v>
      </c>
      <c r="Q4" s="60">
        <v>13.0</v>
      </c>
      <c r="R4" s="60">
        <v>14.0</v>
      </c>
      <c r="S4" s="60">
        <v>15.0</v>
      </c>
      <c r="T4" s="60">
        <v>16.0</v>
      </c>
      <c r="U4" s="60">
        <v>17.0</v>
      </c>
      <c r="V4" s="60">
        <v>18.0</v>
      </c>
      <c r="W4" s="60">
        <v>19.0</v>
      </c>
      <c r="X4" s="60">
        <v>20.0</v>
      </c>
      <c r="Y4" s="60">
        <v>21.0</v>
      </c>
      <c r="Z4" s="60">
        <v>22.0</v>
      </c>
      <c r="AA4" s="60">
        <v>23.0</v>
      </c>
      <c r="AB4" s="60">
        <v>24.0</v>
      </c>
      <c r="AC4" s="60">
        <v>25.0</v>
      </c>
      <c r="AD4" s="60">
        <v>26.0</v>
      </c>
      <c r="AE4" s="60">
        <v>27.0</v>
      </c>
      <c r="AF4" s="60">
        <v>28.0</v>
      </c>
      <c r="AG4" s="60">
        <v>29.0</v>
      </c>
      <c r="AH4" s="60">
        <v>30.0</v>
      </c>
      <c r="AI4" s="61" t="s">
        <v>60</v>
      </c>
    </row>
    <row r="5" ht="69.0" customHeight="1">
      <c r="A5" s="48"/>
      <c r="B5" s="62" t="s">
        <v>61</v>
      </c>
      <c r="C5" s="48"/>
      <c r="D5" s="21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7">
        <v>1.0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9"/>
      <c r="Y6" s="69"/>
      <c r="Z6" s="69"/>
      <c r="AA6" s="69"/>
      <c r="AB6" s="69"/>
      <c r="AC6" s="69"/>
      <c r="AD6" s="70"/>
      <c r="AE6" s="70"/>
      <c r="AF6" s="70"/>
      <c r="AG6" s="70"/>
      <c r="AH6" s="70"/>
      <c r="AI6" s="71">
        <f t="shared" ref="AI6:AI55" si="1">COUNTIF(E6:AH6,"f")</f>
        <v>0</v>
      </c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7">
        <v>2.0</v>
      </c>
      <c r="E7" s="68"/>
      <c r="F7" s="68"/>
      <c r="G7" s="68"/>
      <c r="H7" s="68"/>
      <c r="I7" s="68"/>
      <c r="J7" s="68"/>
      <c r="K7" s="68"/>
      <c r="L7" s="68"/>
      <c r="M7" s="69"/>
      <c r="N7" s="68"/>
      <c r="O7" s="68"/>
      <c r="P7" s="68"/>
      <c r="Q7" s="68"/>
      <c r="R7" s="68"/>
      <c r="S7" s="68"/>
      <c r="T7" s="68"/>
      <c r="U7" s="68"/>
      <c r="V7" s="68"/>
      <c r="W7" s="68"/>
      <c r="X7" s="69"/>
      <c r="Y7" s="68"/>
      <c r="Z7" s="69"/>
      <c r="AA7" s="69"/>
      <c r="AB7" s="69"/>
      <c r="AC7" s="69"/>
      <c r="AD7" s="70"/>
      <c r="AE7" s="70"/>
      <c r="AF7" s="70"/>
      <c r="AG7" s="70"/>
      <c r="AH7" s="70"/>
      <c r="AI7" s="71">
        <f t="shared" si="1"/>
        <v>0</v>
      </c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7">
        <v>3.0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  <c r="Y8" s="69"/>
      <c r="Z8" s="69"/>
      <c r="AA8" s="69"/>
      <c r="AB8" s="69"/>
      <c r="AC8" s="69"/>
      <c r="AD8" s="70"/>
      <c r="AE8" s="70"/>
      <c r="AF8" s="70"/>
      <c r="AG8" s="70"/>
      <c r="AH8" s="70"/>
      <c r="AI8" s="71">
        <f t="shared" si="1"/>
        <v>0</v>
      </c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7">
        <v>4.0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9"/>
      <c r="Y9" s="69"/>
      <c r="Z9" s="69"/>
      <c r="AA9" s="69"/>
      <c r="AB9" s="69"/>
      <c r="AC9" s="69"/>
      <c r="AD9" s="70"/>
      <c r="AE9" s="70"/>
      <c r="AF9" s="70"/>
      <c r="AG9" s="70"/>
      <c r="AH9" s="70"/>
      <c r="AI9" s="71">
        <f t="shared" si="1"/>
        <v>0</v>
      </c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7">
        <v>5.0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9"/>
      <c r="Y10" s="69"/>
      <c r="Z10" s="69"/>
      <c r="AA10" s="69"/>
      <c r="AB10" s="69"/>
      <c r="AC10" s="69"/>
      <c r="AD10" s="70"/>
      <c r="AE10" s="70"/>
      <c r="AF10" s="70"/>
      <c r="AG10" s="70"/>
      <c r="AH10" s="70"/>
      <c r="AI10" s="71">
        <f t="shared" si="1"/>
        <v>0</v>
      </c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7">
        <v>6.0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9"/>
      <c r="Y11" s="69"/>
      <c r="Z11" s="69"/>
      <c r="AA11" s="69"/>
      <c r="AB11" s="69"/>
      <c r="AC11" s="69"/>
      <c r="AD11" s="70"/>
      <c r="AE11" s="70"/>
      <c r="AF11" s="70"/>
      <c r="AG11" s="70"/>
      <c r="AH11" s="70"/>
      <c r="AI11" s="71">
        <f t="shared" si="1"/>
        <v>0</v>
      </c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7">
        <v>7.0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  <c r="Y12" s="69"/>
      <c r="Z12" s="69"/>
      <c r="AA12" s="69"/>
      <c r="AB12" s="69"/>
      <c r="AC12" s="69"/>
      <c r="AD12" s="70"/>
      <c r="AE12" s="70"/>
      <c r="AF12" s="70"/>
      <c r="AG12" s="70"/>
      <c r="AH12" s="70"/>
      <c r="AI12" s="71">
        <f t="shared" si="1"/>
        <v>0</v>
      </c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7">
        <v>8.0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9"/>
      <c r="Z13" s="69"/>
      <c r="AA13" s="69"/>
      <c r="AB13" s="69"/>
      <c r="AC13" s="69"/>
      <c r="AD13" s="70"/>
      <c r="AE13" s="70"/>
      <c r="AF13" s="70"/>
      <c r="AG13" s="70"/>
      <c r="AH13" s="70"/>
      <c r="AI13" s="71">
        <f t="shared" si="1"/>
        <v>0</v>
      </c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7">
        <v>9.0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  <c r="Y14" s="69"/>
      <c r="Z14" s="69"/>
      <c r="AA14" s="69"/>
      <c r="AB14" s="69"/>
      <c r="AC14" s="69"/>
      <c r="AD14" s="70"/>
      <c r="AE14" s="70"/>
      <c r="AF14" s="70"/>
      <c r="AG14" s="70"/>
      <c r="AH14" s="70"/>
      <c r="AI14" s="71">
        <f t="shared" si="1"/>
        <v>0</v>
      </c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7">
        <v>10.0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9"/>
      <c r="Y15" s="69"/>
      <c r="Z15" s="69"/>
      <c r="AA15" s="69"/>
      <c r="AB15" s="69"/>
      <c r="AC15" s="69"/>
      <c r="AD15" s="70"/>
      <c r="AE15" s="70"/>
      <c r="AF15" s="70"/>
      <c r="AG15" s="70"/>
      <c r="AH15" s="70"/>
      <c r="AI15" s="71">
        <f t="shared" si="1"/>
        <v>0</v>
      </c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7">
        <v>11.0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9"/>
      <c r="Y16" s="69"/>
      <c r="Z16" s="69"/>
      <c r="AA16" s="69"/>
      <c r="AB16" s="69"/>
      <c r="AC16" s="69"/>
      <c r="AD16" s="70"/>
      <c r="AE16" s="70"/>
      <c r="AF16" s="70"/>
      <c r="AG16" s="70"/>
      <c r="AH16" s="70"/>
      <c r="AI16" s="71">
        <f t="shared" si="1"/>
        <v>0</v>
      </c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7">
        <v>12.0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9"/>
      <c r="Y17" s="69"/>
      <c r="Z17" s="69"/>
      <c r="AA17" s="69"/>
      <c r="AB17" s="69"/>
      <c r="AC17" s="69"/>
      <c r="AD17" s="70"/>
      <c r="AE17" s="70"/>
      <c r="AF17" s="70"/>
      <c r="AG17" s="70"/>
      <c r="AH17" s="70"/>
      <c r="AI17" s="71">
        <f t="shared" si="1"/>
        <v>0</v>
      </c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7">
        <v>13.0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9"/>
      <c r="Y18" s="69"/>
      <c r="Z18" s="69"/>
      <c r="AA18" s="69"/>
      <c r="AB18" s="69"/>
      <c r="AC18" s="69"/>
      <c r="AD18" s="70"/>
      <c r="AE18" s="70"/>
      <c r="AF18" s="70"/>
      <c r="AG18" s="70"/>
      <c r="AH18" s="70"/>
      <c r="AI18" s="71">
        <f t="shared" si="1"/>
        <v>0</v>
      </c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7">
        <v>14.0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9"/>
      <c r="Y19" s="69"/>
      <c r="Z19" s="69"/>
      <c r="AA19" s="69"/>
      <c r="AB19" s="69"/>
      <c r="AC19" s="69"/>
      <c r="AD19" s="70"/>
      <c r="AE19" s="70"/>
      <c r="AF19" s="70"/>
      <c r="AG19" s="70"/>
      <c r="AH19" s="70"/>
      <c r="AI19" s="71">
        <f t="shared" si="1"/>
        <v>0</v>
      </c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7">
        <v>15.0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9"/>
      <c r="Y20" s="69"/>
      <c r="Z20" s="69"/>
      <c r="AA20" s="69"/>
      <c r="AB20" s="69"/>
      <c r="AC20" s="69"/>
      <c r="AD20" s="70"/>
      <c r="AE20" s="70"/>
      <c r="AF20" s="70"/>
      <c r="AG20" s="70"/>
      <c r="AH20" s="70"/>
      <c r="AI20" s="71">
        <f t="shared" si="1"/>
        <v>0</v>
      </c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7">
        <v>16.0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9"/>
      <c r="Y21" s="69"/>
      <c r="Z21" s="69"/>
      <c r="AA21" s="69"/>
      <c r="AB21" s="69"/>
      <c r="AC21" s="69"/>
      <c r="AD21" s="70"/>
      <c r="AE21" s="70"/>
      <c r="AF21" s="70"/>
      <c r="AG21" s="70"/>
      <c r="AH21" s="70"/>
      <c r="AI21" s="71">
        <f t="shared" si="1"/>
        <v>0</v>
      </c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7">
        <v>17.0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9"/>
      <c r="Y22" s="69"/>
      <c r="Z22" s="69"/>
      <c r="AA22" s="69"/>
      <c r="AB22" s="69"/>
      <c r="AC22" s="69"/>
      <c r="AD22" s="70"/>
      <c r="AE22" s="70"/>
      <c r="AF22" s="70"/>
      <c r="AG22" s="70"/>
      <c r="AH22" s="70"/>
      <c r="AI22" s="71">
        <f t="shared" si="1"/>
        <v>0</v>
      </c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7">
        <v>18.0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9"/>
      <c r="Y23" s="69"/>
      <c r="Z23" s="69"/>
      <c r="AA23" s="69"/>
      <c r="AB23" s="69"/>
      <c r="AC23" s="69"/>
      <c r="AD23" s="70"/>
      <c r="AE23" s="70"/>
      <c r="AF23" s="70"/>
      <c r="AG23" s="70"/>
      <c r="AH23" s="70"/>
      <c r="AI23" s="71">
        <f t="shared" si="1"/>
        <v>0</v>
      </c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7">
        <v>19.0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9"/>
      <c r="Y24" s="69"/>
      <c r="Z24" s="69"/>
      <c r="AA24" s="69"/>
      <c r="AB24" s="69"/>
      <c r="AC24" s="69"/>
      <c r="AD24" s="70"/>
      <c r="AE24" s="70"/>
      <c r="AF24" s="70"/>
      <c r="AG24" s="70"/>
      <c r="AH24" s="70"/>
      <c r="AI24" s="71">
        <f t="shared" si="1"/>
        <v>0</v>
      </c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7">
        <v>20.0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9"/>
      <c r="Y25" s="69"/>
      <c r="Z25" s="69"/>
      <c r="AA25" s="69"/>
      <c r="AB25" s="69"/>
      <c r="AC25" s="69"/>
      <c r="AD25" s="70"/>
      <c r="AE25" s="70"/>
      <c r="AF25" s="70"/>
      <c r="AG25" s="70"/>
      <c r="AH25" s="70"/>
      <c r="AI25" s="71">
        <f t="shared" si="1"/>
        <v>0</v>
      </c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7">
        <v>21.0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9"/>
      <c r="Y26" s="69"/>
      <c r="Z26" s="69"/>
      <c r="AA26" s="69"/>
      <c r="AB26" s="69"/>
      <c r="AC26" s="69"/>
      <c r="AD26" s="70"/>
      <c r="AE26" s="70"/>
      <c r="AF26" s="70"/>
      <c r="AG26" s="70"/>
      <c r="AH26" s="70"/>
      <c r="AI26" s="71">
        <f t="shared" si="1"/>
        <v>0</v>
      </c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7">
        <v>22.0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9"/>
      <c r="Y27" s="69"/>
      <c r="Z27" s="69"/>
      <c r="AA27" s="69"/>
      <c r="AB27" s="69"/>
      <c r="AC27" s="69"/>
      <c r="AD27" s="70"/>
      <c r="AE27" s="70"/>
      <c r="AF27" s="70"/>
      <c r="AG27" s="70"/>
      <c r="AH27" s="70"/>
      <c r="AI27" s="71">
        <f t="shared" si="1"/>
        <v>0</v>
      </c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7">
        <v>23.0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9"/>
      <c r="Y28" s="69"/>
      <c r="Z28" s="69"/>
      <c r="AA28" s="69"/>
      <c r="AB28" s="69"/>
      <c r="AC28" s="69"/>
      <c r="AD28" s="70"/>
      <c r="AE28" s="70"/>
      <c r="AF28" s="70"/>
      <c r="AG28" s="70"/>
      <c r="AH28" s="70"/>
      <c r="AI28" s="71">
        <f t="shared" si="1"/>
        <v>0</v>
      </c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7">
        <v>24.0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9"/>
      <c r="Y29" s="69"/>
      <c r="Z29" s="69"/>
      <c r="AA29" s="69"/>
      <c r="AB29" s="69"/>
      <c r="AC29" s="69"/>
      <c r="AD29" s="70"/>
      <c r="AE29" s="70"/>
      <c r="AF29" s="70"/>
      <c r="AG29" s="70"/>
      <c r="AH29" s="70"/>
      <c r="AI29" s="71">
        <f t="shared" si="1"/>
        <v>0</v>
      </c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7">
        <v>25.0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9"/>
      <c r="Y30" s="69"/>
      <c r="Z30" s="69"/>
      <c r="AA30" s="69"/>
      <c r="AB30" s="69"/>
      <c r="AC30" s="68"/>
      <c r="AD30" s="60"/>
      <c r="AE30" s="60"/>
      <c r="AF30" s="60"/>
      <c r="AG30" s="60"/>
      <c r="AH30" s="60"/>
      <c r="AI30" s="71">
        <f t="shared" si="1"/>
        <v>0</v>
      </c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7">
        <v>26.0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9"/>
      <c r="Y31" s="69"/>
      <c r="Z31" s="69"/>
      <c r="AA31" s="69"/>
      <c r="AB31" s="69"/>
      <c r="AC31" s="69"/>
      <c r="AD31" s="70"/>
      <c r="AE31" s="70"/>
      <c r="AF31" s="70"/>
      <c r="AG31" s="70"/>
      <c r="AH31" s="70"/>
      <c r="AI31" s="71">
        <f t="shared" si="1"/>
        <v>0</v>
      </c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7">
        <v>27.0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9"/>
      <c r="Y32" s="69"/>
      <c r="Z32" s="69"/>
      <c r="AA32" s="69"/>
      <c r="AB32" s="69"/>
      <c r="AC32" s="69"/>
      <c r="AD32" s="70"/>
      <c r="AE32" s="70"/>
      <c r="AF32" s="70"/>
      <c r="AG32" s="70"/>
      <c r="AH32" s="70"/>
      <c r="AI32" s="71">
        <f t="shared" si="1"/>
        <v>0</v>
      </c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7">
        <v>28.0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69"/>
      <c r="Z33" s="69"/>
      <c r="AA33" s="69"/>
      <c r="AB33" s="69"/>
      <c r="AC33" s="69"/>
      <c r="AD33" s="70"/>
      <c r="AE33" s="70"/>
      <c r="AF33" s="70"/>
      <c r="AG33" s="70"/>
      <c r="AH33" s="70"/>
      <c r="AI33" s="71">
        <f t="shared" si="1"/>
        <v>0</v>
      </c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7">
        <v>29.0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70"/>
      <c r="AE34" s="70"/>
      <c r="AF34" s="70"/>
      <c r="AG34" s="70"/>
      <c r="AH34" s="70"/>
      <c r="AI34" s="71">
        <f t="shared" si="1"/>
        <v>0</v>
      </c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7">
        <v>30.0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70"/>
      <c r="AE35" s="70"/>
      <c r="AF35" s="70"/>
      <c r="AG35" s="70"/>
      <c r="AH35" s="70"/>
      <c r="AI35" s="71">
        <f t="shared" si="1"/>
        <v>0</v>
      </c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7">
        <v>31.0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70"/>
      <c r="AE36" s="70"/>
      <c r="AF36" s="70"/>
      <c r="AG36" s="70"/>
      <c r="AH36" s="70"/>
      <c r="AI36" s="71">
        <f t="shared" si="1"/>
        <v>0</v>
      </c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7">
        <v>32.0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0"/>
      <c r="AE37" s="70"/>
      <c r="AF37" s="70"/>
      <c r="AG37" s="70"/>
      <c r="AH37" s="70"/>
      <c r="AI37" s="71">
        <f t="shared" si="1"/>
        <v>0</v>
      </c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7">
        <v>33.0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70"/>
      <c r="AE38" s="70"/>
      <c r="AF38" s="70"/>
      <c r="AG38" s="70"/>
      <c r="AH38" s="70"/>
      <c r="AI38" s="71">
        <f t="shared" si="1"/>
        <v>0</v>
      </c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7">
        <v>34.0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70"/>
      <c r="AE39" s="70"/>
      <c r="AF39" s="70"/>
      <c r="AG39" s="70"/>
      <c r="AH39" s="70"/>
      <c r="AI39" s="71">
        <f t="shared" si="1"/>
        <v>0</v>
      </c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7">
        <v>35.0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70"/>
      <c r="AE40" s="70"/>
      <c r="AF40" s="70"/>
      <c r="AG40" s="70"/>
      <c r="AH40" s="70"/>
      <c r="AI40" s="71">
        <f t="shared" si="1"/>
        <v>0</v>
      </c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7">
        <v>36.0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70"/>
      <c r="AE41" s="70"/>
      <c r="AF41" s="70"/>
      <c r="AG41" s="70"/>
      <c r="AH41" s="70"/>
      <c r="AI41" s="71">
        <f t="shared" si="1"/>
        <v>0</v>
      </c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7">
        <v>37.0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70"/>
      <c r="AE42" s="70"/>
      <c r="AF42" s="70"/>
      <c r="AG42" s="70"/>
      <c r="AH42" s="70"/>
      <c r="AI42" s="71">
        <f t="shared" si="1"/>
        <v>0</v>
      </c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7">
        <v>38.0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70"/>
      <c r="AE43" s="70"/>
      <c r="AF43" s="70"/>
      <c r="AG43" s="70"/>
      <c r="AH43" s="70"/>
      <c r="AI43" s="71">
        <f t="shared" si="1"/>
        <v>0</v>
      </c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7">
        <v>39.0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70"/>
      <c r="AE44" s="70"/>
      <c r="AF44" s="70"/>
      <c r="AG44" s="70"/>
      <c r="AH44" s="70"/>
      <c r="AI44" s="71">
        <f t="shared" si="1"/>
        <v>0</v>
      </c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7">
        <v>40.0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70"/>
      <c r="AE45" s="70"/>
      <c r="AF45" s="70"/>
      <c r="AG45" s="70"/>
      <c r="AH45" s="70"/>
      <c r="AI45" s="71">
        <f t="shared" si="1"/>
        <v>0</v>
      </c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7">
        <v>41.0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70"/>
      <c r="AE46" s="70"/>
      <c r="AF46" s="70"/>
      <c r="AG46" s="70"/>
      <c r="AH46" s="70"/>
      <c r="AI46" s="71">
        <f t="shared" si="1"/>
        <v>0</v>
      </c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7">
        <v>42.0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70"/>
      <c r="AE47" s="70"/>
      <c r="AF47" s="70"/>
      <c r="AG47" s="70"/>
      <c r="AH47" s="70"/>
      <c r="AI47" s="71">
        <f t="shared" si="1"/>
        <v>0</v>
      </c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7">
        <v>43.0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70"/>
      <c r="AE48" s="70"/>
      <c r="AF48" s="70"/>
      <c r="AG48" s="70"/>
      <c r="AH48" s="70"/>
      <c r="AI48" s="71">
        <f t="shared" si="1"/>
        <v>0</v>
      </c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7">
        <v>44.0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70"/>
      <c r="AE49" s="70"/>
      <c r="AF49" s="70"/>
      <c r="AG49" s="70"/>
      <c r="AH49" s="70"/>
      <c r="AI49" s="71">
        <f t="shared" si="1"/>
        <v>0</v>
      </c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7">
        <v>45.0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70"/>
      <c r="AE50" s="70"/>
      <c r="AF50" s="70"/>
      <c r="AG50" s="70"/>
      <c r="AH50" s="70"/>
      <c r="AI50" s="71">
        <f t="shared" si="1"/>
        <v>0</v>
      </c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7">
        <v>46.0</v>
      </c>
      <c r="E51" s="68"/>
      <c r="F51" s="68"/>
      <c r="G51" s="68"/>
      <c r="H51" s="68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70"/>
      <c r="AE51" s="70"/>
      <c r="AF51" s="70"/>
      <c r="AG51" s="70"/>
      <c r="AH51" s="70"/>
      <c r="AI51" s="71">
        <f t="shared" si="1"/>
        <v>0</v>
      </c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7">
        <v>47.0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70"/>
      <c r="AE52" s="70"/>
      <c r="AF52" s="70"/>
      <c r="AG52" s="70"/>
      <c r="AH52" s="70"/>
      <c r="AI52" s="71">
        <f t="shared" si="1"/>
        <v>0</v>
      </c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7">
        <v>48.0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70"/>
      <c r="AE53" s="70"/>
      <c r="AF53" s="70"/>
      <c r="AG53" s="70"/>
      <c r="AH53" s="70"/>
      <c r="AI53" s="71">
        <f t="shared" si="1"/>
        <v>0</v>
      </c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7">
        <v>49.0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70"/>
      <c r="AE54" s="70"/>
      <c r="AF54" s="70"/>
      <c r="AG54" s="70"/>
      <c r="AH54" s="70"/>
      <c r="AI54" s="71">
        <f t="shared" si="1"/>
        <v>0</v>
      </c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7">
        <v>50.0</v>
      </c>
      <c r="E55" s="68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70"/>
      <c r="AE55" s="70"/>
      <c r="AF55" s="70"/>
      <c r="AG55" s="70"/>
      <c r="AH55" s="70"/>
      <c r="AI55" s="71">
        <f t="shared" si="1"/>
        <v>0</v>
      </c>
    </row>
  </sheetData>
  <mergeCells count="8">
    <mergeCell ref="A1:C2"/>
    <mergeCell ref="D1:AI2"/>
    <mergeCell ref="A3:A5"/>
    <mergeCell ref="B3:B4"/>
    <mergeCell ref="C3:C5"/>
    <mergeCell ref="D3:AI3"/>
    <mergeCell ref="D4:D5"/>
    <mergeCell ref="AI4:AI5"/>
  </mergeCells>
  <printOptions horizontalCentered="1"/>
  <pageMargins bottom="0.19685039370078738" footer="0.0" header="0.0" left="0.19685039370078738" right="0.19685039370078738" top="0.5334010668021337"/>
  <pageSetup paperSize="9" cellComments="atEnd" orientation="portrait" pageOrder="overThenDown"/>
  <colBreaks count="2" manualBreakCount="2">
    <brk man="1"/>
    <brk id="35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8.0"/>
    <col customWidth="1" min="3" max="3" width="17.5"/>
    <col customWidth="1" min="4" max="4" width="61.0"/>
  </cols>
  <sheetData>
    <row r="1" ht="57.75" customHeight="1">
      <c r="A1" s="72" t="s">
        <v>59</v>
      </c>
      <c r="B1" s="73" t="s">
        <v>64</v>
      </c>
      <c r="C1" s="74" t="s">
        <v>65</v>
      </c>
      <c r="D1" s="68" t="s">
        <v>66</v>
      </c>
    </row>
    <row r="2">
      <c r="A2" s="75">
        <v>1.0</v>
      </c>
      <c r="B2" s="86" t="str">
        <f>'Frequência 4º Bim'!E5</f>
        <v/>
      </c>
      <c r="C2" s="77"/>
      <c r="D2" s="78"/>
    </row>
    <row r="3">
      <c r="A3" s="75">
        <v>2.0</v>
      </c>
      <c r="B3" s="86" t="str">
        <f>'Frequência 4º Bim'!F5</f>
        <v/>
      </c>
      <c r="C3" s="77"/>
      <c r="D3" s="78"/>
    </row>
    <row r="4">
      <c r="A4" s="75">
        <v>3.0</v>
      </c>
      <c r="B4" s="86" t="str">
        <f>'Frequência 4º Bim'!G5</f>
        <v/>
      </c>
      <c r="C4" s="77"/>
      <c r="D4" s="78"/>
    </row>
    <row r="5">
      <c r="A5" s="75">
        <v>4.0</v>
      </c>
      <c r="B5" s="86" t="str">
        <f>'Frequência 4º Bim'!H5</f>
        <v/>
      </c>
      <c r="C5" s="77"/>
      <c r="D5" s="78"/>
    </row>
    <row r="6">
      <c r="A6" s="75">
        <v>5.0</v>
      </c>
      <c r="B6" s="86" t="str">
        <f>'Frequência 4º Bim'!I5</f>
        <v/>
      </c>
      <c r="C6" s="77"/>
      <c r="D6" s="78"/>
    </row>
    <row r="7">
      <c r="A7" s="75">
        <v>6.0</v>
      </c>
      <c r="B7" s="86" t="str">
        <f>'Frequência 4º Bim'!J5</f>
        <v/>
      </c>
      <c r="C7" s="77"/>
      <c r="D7" s="80"/>
    </row>
    <row r="8">
      <c r="A8" s="75">
        <v>7.0</v>
      </c>
      <c r="B8" s="86" t="str">
        <f>'Frequência 4º Bim'!K5</f>
        <v/>
      </c>
      <c r="C8" s="77"/>
      <c r="D8" s="81"/>
    </row>
    <row r="9">
      <c r="A9" s="75">
        <v>8.0</v>
      </c>
      <c r="B9" s="86" t="str">
        <f>'Frequência 4º Bim'!L5</f>
        <v/>
      </c>
      <c r="C9" s="77"/>
      <c r="D9" s="80"/>
    </row>
    <row r="10">
      <c r="A10" s="75">
        <v>9.0</v>
      </c>
      <c r="B10" s="86" t="str">
        <f>'Frequência 4º Bim'!M5</f>
        <v/>
      </c>
      <c r="C10" s="77"/>
      <c r="D10" s="80"/>
    </row>
    <row r="11">
      <c r="A11" s="75">
        <v>10.0</v>
      </c>
      <c r="B11" s="86" t="str">
        <f>'Frequência 4º Bim'!N5</f>
        <v/>
      </c>
      <c r="C11" s="77"/>
      <c r="D11" s="82"/>
    </row>
    <row r="12">
      <c r="A12" s="75">
        <v>11.0</v>
      </c>
      <c r="B12" s="86" t="str">
        <f>'Frequência 4º Bim'!O5</f>
        <v/>
      </c>
      <c r="C12" s="77"/>
      <c r="D12" s="83"/>
    </row>
    <row r="13">
      <c r="A13" s="75">
        <v>12.0</v>
      </c>
      <c r="B13" s="86" t="str">
        <f>'Frequência 4º Bim'!P5</f>
        <v/>
      </c>
      <c r="C13" s="77"/>
      <c r="D13" s="83"/>
    </row>
    <row r="14">
      <c r="A14" s="75">
        <v>13.0</v>
      </c>
      <c r="B14" s="86" t="str">
        <f>'Frequência 4º Bim'!Q5</f>
        <v/>
      </c>
      <c r="C14" s="77"/>
      <c r="D14" s="84"/>
    </row>
    <row r="15">
      <c r="A15" s="75">
        <v>14.0</v>
      </c>
      <c r="B15" s="86" t="str">
        <f>'Frequência 4º Bim'!R5</f>
        <v/>
      </c>
      <c r="C15" s="77"/>
      <c r="D15" s="85"/>
    </row>
    <row r="16">
      <c r="A16" s="75">
        <v>15.0</v>
      </c>
      <c r="B16" s="86" t="str">
        <f>'Frequência 4º Bim'!S5</f>
        <v/>
      </c>
      <c r="C16" s="77"/>
      <c r="D16" s="84"/>
    </row>
    <row r="17">
      <c r="A17" s="75">
        <v>16.0</v>
      </c>
      <c r="B17" s="86" t="str">
        <f>'Frequência 4º Bim'!T5</f>
        <v/>
      </c>
      <c r="C17" s="77"/>
      <c r="D17" s="84"/>
    </row>
    <row r="18">
      <c r="A18" s="75">
        <v>17.0</v>
      </c>
      <c r="B18" s="86" t="str">
        <f>'Frequência 4º Bim'!U5</f>
        <v/>
      </c>
      <c r="C18" s="77"/>
      <c r="D18" s="84"/>
    </row>
    <row r="19">
      <c r="A19" s="75">
        <v>18.0</v>
      </c>
      <c r="B19" s="86" t="str">
        <f>'Frequência 4º Bim'!V5</f>
        <v/>
      </c>
      <c r="C19" s="77"/>
      <c r="D19" s="84"/>
    </row>
    <row r="20">
      <c r="A20" s="75">
        <v>19.0</v>
      </c>
      <c r="B20" s="86" t="str">
        <f>'Frequência 4º Bim'!W5</f>
        <v/>
      </c>
      <c r="C20" s="77"/>
      <c r="D20" s="84"/>
    </row>
    <row r="21">
      <c r="A21" s="75">
        <v>20.0</v>
      </c>
      <c r="B21" s="86" t="str">
        <f>'Frequência 4º Bim'!X5</f>
        <v/>
      </c>
      <c r="C21" s="77"/>
      <c r="D21" s="84"/>
    </row>
    <row r="22">
      <c r="A22" s="75">
        <v>21.0</v>
      </c>
      <c r="B22" s="86" t="str">
        <f>'Frequência 4º Bim'!Y5</f>
        <v/>
      </c>
      <c r="C22" s="77"/>
      <c r="D22" s="84"/>
    </row>
    <row r="23">
      <c r="A23" s="75">
        <v>22.0</v>
      </c>
      <c r="B23" s="86" t="str">
        <f>'Frequência 4º Bim'!Z5</f>
        <v/>
      </c>
      <c r="C23" s="77"/>
      <c r="D23" s="84"/>
    </row>
    <row r="24">
      <c r="A24" s="75">
        <v>23.0</v>
      </c>
      <c r="B24" s="86" t="str">
        <f>'Frequência 4º Bim'!AA5</f>
        <v/>
      </c>
      <c r="C24" s="77"/>
      <c r="D24" s="84"/>
    </row>
    <row r="25">
      <c r="A25" s="75">
        <v>24.0</v>
      </c>
      <c r="B25" s="86" t="str">
        <f>'Frequência 4º Bim'!AB5</f>
        <v/>
      </c>
      <c r="C25" s="77"/>
      <c r="D25" s="84"/>
    </row>
    <row r="26">
      <c r="A26" s="75">
        <v>25.0</v>
      </c>
      <c r="B26" s="86" t="str">
        <f>'Frequência 4º Bim'!AC5</f>
        <v/>
      </c>
      <c r="C26" s="77"/>
      <c r="D26" s="87"/>
    </row>
    <row r="27">
      <c r="A27" s="75">
        <v>26.0</v>
      </c>
      <c r="B27" s="86" t="str">
        <f>'Frequência 4º Bim'!AD5</f>
        <v/>
      </c>
      <c r="C27" s="77"/>
      <c r="D27" s="88"/>
    </row>
    <row r="28">
      <c r="A28" s="75">
        <v>27.0</v>
      </c>
      <c r="B28" s="86" t="str">
        <f>'Frequência 4º Bim'!AE5</f>
        <v/>
      </c>
      <c r="C28" s="77"/>
      <c r="D28" s="87"/>
    </row>
    <row r="29">
      <c r="A29" s="75">
        <v>28.0</v>
      </c>
      <c r="B29" s="86" t="str">
        <f>'Frequência 4º Bim'!AF5</f>
        <v/>
      </c>
      <c r="C29" s="77"/>
      <c r="D29" s="87"/>
    </row>
    <row r="30">
      <c r="A30" s="75">
        <v>29.0</v>
      </c>
      <c r="B30" s="86" t="str">
        <f>'Frequência 4º Bim'!AG5</f>
        <v/>
      </c>
      <c r="C30" s="77"/>
      <c r="D30" s="87"/>
    </row>
    <row r="31">
      <c r="A31" s="75">
        <v>30.0</v>
      </c>
      <c r="B31" s="86" t="str">
        <f>'Frequência 4º Bim'!AH5</f>
        <v/>
      </c>
      <c r="C31" s="77"/>
      <c r="D31" s="87"/>
    </row>
    <row r="32">
      <c r="A32" s="90" t="s">
        <v>67</v>
      </c>
      <c r="B32" s="15"/>
      <c r="C32" s="15"/>
      <c r="D32" s="15"/>
    </row>
    <row r="33" ht="35.25" customHeight="1">
      <c r="A33" s="91" t="s">
        <v>68</v>
      </c>
      <c r="C33" s="92">
        <v>20.0</v>
      </c>
      <c r="D33" s="93"/>
    </row>
    <row r="34" ht="18.0" customHeight="1">
      <c r="A34" s="94"/>
      <c r="C34" s="45"/>
      <c r="D34" s="95" t="s">
        <v>69</v>
      </c>
    </row>
    <row r="35" ht="18.0" customHeight="1">
      <c r="A35" s="94"/>
      <c r="C35" s="45"/>
      <c r="D35" s="95" t="str">
        <f>"Professor(a): "&amp;Capa!G35</f>
        <v>Professor(a): ITAMAR VIEIRA NUNES</v>
      </c>
    </row>
    <row r="36" ht="18.0" customHeight="1">
      <c r="A36" s="96"/>
      <c r="B36" s="20"/>
      <c r="C36" s="48"/>
      <c r="D36" s="95" t="s">
        <v>70</v>
      </c>
    </row>
    <row r="37" ht="40.5" customHeight="1">
      <c r="A37" s="91" t="s">
        <v>71</v>
      </c>
      <c r="C37" s="92">
        <f>COUNTA('Frequência 4º Bim'!E5:AH5)</f>
        <v>0</v>
      </c>
      <c r="D37" s="93"/>
    </row>
    <row r="38" ht="29.25" customHeight="1">
      <c r="A38" s="96"/>
      <c r="B38" s="20"/>
      <c r="C38" s="48"/>
      <c r="D38" s="93" t="s">
        <v>72</v>
      </c>
    </row>
  </sheetData>
  <mergeCells count="5">
    <mergeCell ref="A32:D32"/>
    <mergeCell ref="A33:B36"/>
    <mergeCell ref="C33:C36"/>
    <mergeCell ref="A37:B38"/>
    <mergeCell ref="C37:C38"/>
  </mergeCells>
  <dataValidations>
    <dataValidation type="list" allowBlank="1" showErrorMessage="1" sqref="C2:C31">
      <formula1>"Danças,Brinc. e Jogos,Ginásticas,Esportes,Lutas,Vida e Saúde"</formula1>
    </dataValidation>
  </dataValidations>
  <printOptions horizontalCentered="1"/>
  <pageMargins bottom="0.19685039370078738" footer="0.0" header="0.0" left="0.19685039370078738" right="0.19685039370078738" top="0.30003810007620024"/>
  <pageSetup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63"/>
    <col customWidth="1" min="2" max="2" width="35.75"/>
    <col customWidth="1" min="3" max="3" width="13.63"/>
    <col customWidth="1" min="4" max="4" width="52.0"/>
    <col customWidth="1" min="5" max="5" width="81.75"/>
  </cols>
  <sheetData>
    <row r="1">
      <c r="A1" s="53" t="str">
        <f>"Componente Curricular: "&amp;Capa!J38&amp;""</f>
        <v>Componente Curricular: Educaçao Física</v>
      </c>
      <c r="D1" s="54" t="str">
        <f>"Ano: "&amp;Capa!F30&amp;"                Turma: "&amp;Capa!N30&amp;"             Turno: "&amp;Capa!F32&amp;"              Ano Letivo: "&amp;Capa!O32&amp;"           4º Bimestre"&amp;"                                                                    Professor(a): "&amp;Capa!G35</f>
        <v>Ano: 2°                Turma: D             Turno: Vespertino              Ano Letivo: 2026           4º Bimestre                                                                    Professor(a): ITAMAR VIEIRA NUNES</v>
      </c>
    </row>
    <row r="2">
      <c r="A2" s="20"/>
      <c r="B2" s="20"/>
      <c r="C2" s="20"/>
      <c r="D2" s="20"/>
      <c r="E2" s="20"/>
    </row>
    <row r="3">
      <c r="A3" s="55" t="s">
        <v>56</v>
      </c>
      <c r="B3" s="56" t="str">
        <f>"Aulas Dadas: "&amp;COUNTA('Frequência 4º Bim'!$E$5:$AH$5)</f>
        <v>Aulas Dadas: 0</v>
      </c>
      <c r="C3" s="57" t="s">
        <v>57</v>
      </c>
      <c r="D3" s="97" t="s">
        <v>73</v>
      </c>
      <c r="E3" s="97" t="s">
        <v>74</v>
      </c>
    </row>
    <row r="4" ht="21.75" customHeight="1">
      <c r="A4" s="45"/>
      <c r="B4" s="48"/>
      <c r="C4" s="45"/>
      <c r="D4" s="45"/>
      <c r="E4" s="45"/>
    </row>
    <row r="5" ht="69.0" customHeight="1">
      <c r="A5" s="48"/>
      <c r="B5" s="62" t="s">
        <v>61</v>
      </c>
      <c r="C5" s="48"/>
      <c r="D5" s="48"/>
      <c r="E5" s="48"/>
    </row>
    <row r="6">
      <c r="A6" s="67">
        <v>1.0</v>
      </c>
      <c r="B6" s="49" t="str">
        <f>'Secret. Escolar'!$B$6</f>
        <v>Adriana Sofia Gonzalez Torres</v>
      </c>
      <c r="C6" s="50" t="str">
        <f>'Secret. Escolar'!$C$6</f>
        <v/>
      </c>
      <c r="D6" s="68"/>
      <c r="E6" s="68"/>
    </row>
    <row r="7">
      <c r="A7" s="67">
        <v>2.0</v>
      </c>
      <c r="B7" s="49" t="str">
        <f>'Secret. Escolar'!$B$7</f>
        <v>Alyson Lucas de Sousa Alencar</v>
      </c>
      <c r="C7" s="49" t="str">
        <f>'Secret. Escolar'!$C$7</f>
        <v/>
      </c>
      <c r="D7" s="68"/>
      <c r="E7" s="68"/>
    </row>
    <row r="8">
      <c r="A8" s="67">
        <v>3.0</v>
      </c>
      <c r="B8" s="49" t="str">
        <f>'Secret. Escolar'!$B$8</f>
        <v>Ana Clara Silva Zanolim</v>
      </c>
      <c r="C8" s="49" t="str">
        <f>'Secret. Escolar'!$C$8</f>
        <v/>
      </c>
      <c r="D8" s="68"/>
      <c r="E8" s="68"/>
    </row>
    <row r="9">
      <c r="A9" s="67">
        <v>4.0</v>
      </c>
      <c r="B9" s="49" t="str">
        <f>'Secret. Escolar'!$B$9</f>
        <v>Antônio Alves Pereira de Souza</v>
      </c>
      <c r="C9" s="49" t="str">
        <f>'Secret. Escolar'!$C$9</f>
        <v/>
      </c>
      <c r="D9" s="68"/>
      <c r="E9" s="68"/>
    </row>
    <row r="10">
      <c r="A10" s="67">
        <v>5.0</v>
      </c>
      <c r="B10" s="49" t="str">
        <f>'Secret. Escolar'!$B$10</f>
        <v>Cecília Resende dos Santos</v>
      </c>
      <c r="C10" s="49" t="str">
        <f>'Secret. Escolar'!$C$10</f>
        <v/>
      </c>
      <c r="D10" s="68"/>
      <c r="E10" s="68"/>
    </row>
    <row r="11">
      <c r="A11" s="67">
        <v>6.0</v>
      </c>
      <c r="B11" s="49" t="str">
        <f>'Secret. Escolar'!$B$11</f>
        <v>Emanuelly Vale da Silva</v>
      </c>
      <c r="C11" s="49" t="str">
        <f>'Secret. Escolar'!$C$11</f>
        <v/>
      </c>
      <c r="D11" s="68"/>
      <c r="E11" s="68"/>
    </row>
    <row r="12">
      <c r="A12" s="67">
        <v>7.0</v>
      </c>
      <c r="B12" s="49" t="str">
        <f>'Secret. Escolar'!$B$12</f>
        <v>Glloria Vitorya Moreira do Vale</v>
      </c>
      <c r="C12" s="49" t="str">
        <f>'Secret. Escolar'!$C$12</f>
        <v/>
      </c>
      <c r="D12" s="68"/>
      <c r="E12" s="68"/>
    </row>
    <row r="13">
      <c r="A13" s="67">
        <v>8.0</v>
      </c>
      <c r="B13" s="49" t="str">
        <f>'Secret. Escolar'!$B$13</f>
        <v>Izabelly Vitória Pereira Muniz</v>
      </c>
      <c r="C13" s="49" t="str">
        <f>'Secret. Escolar'!$C$13</f>
        <v/>
      </c>
      <c r="D13" s="68"/>
      <c r="E13" s="68"/>
    </row>
    <row r="14">
      <c r="A14" s="67">
        <v>9.0</v>
      </c>
      <c r="B14" s="49" t="str">
        <f>'Secret. Escolar'!$B$14</f>
        <v>Kaleu Carneiro Mesquita Tavares</v>
      </c>
      <c r="C14" s="49" t="str">
        <f>'Secret. Escolar'!$C$14</f>
        <v/>
      </c>
      <c r="D14" s="68"/>
      <c r="E14" s="68"/>
    </row>
    <row r="15">
      <c r="A15" s="67">
        <v>10.0</v>
      </c>
      <c r="B15" s="51" t="str">
        <f>'Secret. Escolar'!$B$15</f>
        <v>Lelimar Sofia Reyes Febres</v>
      </c>
      <c r="C15" s="49" t="str">
        <f>'Secret. Escolar'!$C$15</f>
        <v/>
      </c>
      <c r="D15" s="68"/>
      <c r="E15" s="68"/>
    </row>
    <row r="16">
      <c r="A16" s="67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68"/>
      <c r="E16" s="68"/>
    </row>
    <row r="17">
      <c r="A17" s="67">
        <v>12.0</v>
      </c>
      <c r="B17" s="49" t="str">
        <f>'Secret. Escolar'!$B$17</f>
        <v>Luiz Otávio Santos de Sousa</v>
      </c>
      <c r="C17" s="49" t="str">
        <f>'Secret. Escolar'!$C$17</f>
        <v/>
      </c>
      <c r="D17" s="68"/>
      <c r="E17" s="68"/>
    </row>
    <row r="18">
      <c r="A18" s="67">
        <v>13.0</v>
      </c>
      <c r="B18" s="49" t="str">
        <f>'Secret. Escolar'!$B$18</f>
        <v>Maria Valentina de Souza</v>
      </c>
      <c r="C18" s="49" t="str">
        <f>'Secret. Escolar'!$C$18</f>
        <v/>
      </c>
      <c r="D18" s="68"/>
      <c r="E18" s="68"/>
    </row>
    <row r="19">
      <c r="A19" s="67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68"/>
      <c r="E19" s="68"/>
    </row>
    <row r="20">
      <c r="A20" s="67">
        <v>15.0</v>
      </c>
      <c r="B20" s="49" t="str">
        <f>'Secret. Escolar'!$B$20</f>
        <v>Melissa Oliveira Magalhães</v>
      </c>
      <c r="C20" s="49" t="str">
        <f>'Secret. Escolar'!$C$20</f>
        <v/>
      </c>
      <c r="D20" s="68"/>
      <c r="E20" s="68"/>
    </row>
    <row r="21">
      <c r="A21" s="67">
        <v>16.0</v>
      </c>
      <c r="B21" s="49" t="str">
        <f>'Secret. Escolar'!$B$21</f>
        <v>Neilson de Oliveira Carneiro</v>
      </c>
      <c r="C21" s="49" t="str">
        <f>'Secret. Escolar'!$C$21</f>
        <v/>
      </c>
      <c r="D21" s="68"/>
      <c r="E21" s="68"/>
    </row>
    <row r="22">
      <c r="A22" s="67">
        <v>17.0</v>
      </c>
      <c r="B22" s="49" t="str">
        <f>'Secret. Escolar'!$B$22</f>
        <v>Sarah Gabrielle Coelho Lopes</v>
      </c>
      <c r="C22" s="49" t="str">
        <f>'Secret. Escolar'!$C$22</f>
        <v/>
      </c>
      <c r="D22" s="68"/>
      <c r="E22" s="68"/>
    </row>
    <row r="23">
      <c r="A23" s="67">
        <v>18.0</v>
      </c>
      <c r="B23" s="49" t="str">
        <f>'Secret. Escolar'!$B$23</f>
        <v>Sophia Pereira de Oliveira</v>
      </c>
      <c r="C23" s="49" t="str">
        <f>'Secret. Escolar'!$C$23</f>
        <v/>
      </c>
      <c r="D23" s="68"/>
      <c r="E23" s="68"/>
    </row>
    <row r="24">
      <c r="A24" s="67">
        <v>19.0</v>
      </c>
      <c r="B24" s="49" t="str">
        <f>'Secret. Escolar'!$B$24</f>
        <v>Wuilmer Adrian Ramos Salazar</v>
      </c>
      <c r="C24" s="49" t="str">
        <f>'Secret. Escolar'!$C$24</f>
        <v/>
      </c>
      <c r="D24" s="68"/>
      <c r="E24" s="68"/>
    </row>
    <row r="25">
      <c r="A25" s="67">
        <v>20.0</v>
      </c>
      <c r="B25" s="49" t="str">
        <f>'Secret. Escolar'!$B$25</f>
        <v/>
      </c>
      <c r="C25" s="49" t="str">
        <f>'Secret. Escolar'!$C$25</f>
        <v/>
      </c>
      <c r="D25" s="68"/>
      <c r="E25" s="68"/>
    </row>
    <row r="26">
      <c r="A26" s="67">
        <v>21.0</v>
      </c>
      <c r="B26" s="49" t="str">
        <f>'Secret. Escolar'!$B$26</f>
        <v/>
      </c>
      <c r="C26" s="49" t="str">
        <f>'Secret. Escolar'!$C$26</f>
        <v/>
      </c>
      <c r="D26" s="68"/>
      <c r="E26" s="68"/>
    </row>
    <row r="27">
      <c r="A27" s="67">
        <v>22.0</v>
      </c>
      <c r="B27" s="49" t="str">
        <f>'Secret. Escolar'!$B$27</f>
        <v/>
      </c>
      <c r="C27" s="49" t="str">
        <f>'Secret. Escolar'!$C$27</f>
        <v/>
      </c>
      <c r="D27" s="68"/>
      <c r="E27" s="68"/>
    </row>
    <row r="28">
      <c r="A28" s="67">
        <v>23.0</v>
      </c>
      <c r="B28" s="49" t="str">
        <f>'Secret. Escolar'!$B$28</f>
        <v/>
      </c>
      <c r="C28" s="49" t="str">
        <f>'Secret. Escolar'!$C$28</f>
        <v/>
      </c>
      <c r="D28" s="68"/>
      <c r="E28" s="68"/>
    </row>
    <row r="29">
      <c r="A29" s="67">
        <v>24.0</v>
      </c>
      <c r="B29" s="49" t="str">
        <f>'Secret. Escolar'!$B$29</f>
        <v/>
      </c>
      <c r="C29" s="49" t="str">
        <f>'Secret. Escolar'!$C$29</f>
        <v/>
      </c>
      <c r="D29" s="68"/>
      <c r="E29" s="68"/>
    </row>
    <row r="30">
      <c r="A30" s="67">
        <v>25.0</v>
      </c>
      <c r="B30" s="49" t="str">
        <f>'Secret. Escolar'!$B$30</f>
        <v/>
      </c>
      <c r="C30" s="49" t="str">
        <f>'Secret. Escolar'!$C$30</f>
        <v/>
      </c>
      <c r="D30" s="68"/>
      <c r="E30" s="68"/>
    </row>
    <row r="31">
      <c r="A31" s="67">
        <v>26.0</v>
      </c>
      <c r="B31" s="49" t="str">
        <f>'Secret. Escolar'!$B$31</f>
        <v/>
      </c>
      <c r="C31" s="49" t="str">
        <f>'Secret. Escolar'!$C$31</f>
        <v/>
      </c>
      <c r="D31" s="68"/>
      <c r="E31" s="68"/>
    </row>
    <row r="32">
      <c r="A32" s="67">
        <v>27.0</v>
      </c>
      <c r="B32" s="49" t="str">
        <f>'Secret. Escolar'!$B$32</f>
        <v/>
      </c>
      <c r="C32" s="49" t="str">
        <f>'Secret. Escolar'!$C$32</f>
        <v/>
      </c>
      <c r="D32" s="68"/>
      <c r="E32" s="68"/>
    </row>
    <row r="33">
      <c r="A33" s="67">
        <v>28.0</v>
      </c>
      <c r="B33" s="49" t="str">
        <f>'Secret. Escolar'!$B$33</f>
        <v/>
      </c>
      <c r="C33" s="49" t="str">
        <f>'Secret. Escolar'!$C$33</f>
        <v/>
      </c>
      <c r="D33" s="68"/>
      <c r="E33" s="68"/>
    </row>
    <row r="34">
      <c r="A34" s="67">
        <v>29.0</v>
      </c>
      <c r="B34" s="49" t="str">
        <f>'Secret. Escolar'!$B$34</f>
        <v/>
      </c>
      <c r="C34" s="49" t="str">
        <f>'Secret. Escolar'!$C$34</f>
        <v/>
      </c>
      <c r="D34" s="69"/>
      <c r="E34" s="69"/>
    </row>
    <row r="35">
      <c r="A35" s="67">
        <v>30.0</v>
      </c>
      <c r="B35" s="49" t="str">
        <f>'Secret. Escolar'!$B$35</f>
        <v/>
      </c>
      <c r="C35" s="49" t="str">
        <f>'Secret. Escolar'!$C$35</f>
        <v/>
      </c>
      <c r="D35" s="69"/>
      <c r="E35" s="69"/>
    </row>
    <row r="36">
      <c r="A36" s="67">
        <v>31.0</v>
      </c>
      <c r="B36" s="49" t="str">
        <f>'Secret. Escolar'!$B$36</f>
        <v/>
      </c>
      <c r="C36" s="49" t="str">
        <f>'Secret. Escolar'!$C$36</f>
        <v/>
      </c>
      <c r="D36" s="69"/>
      <c r="E36" s="69"/>
    </row>
    <row r="37">
      <c r="A37" s="67">
        <v>32.0</v>
      </c>
      <c r="B37" s="49" t="str">
        <f>'Secret. Escolar'!$B$37</f>
        <v/>
      </c>
      <c r="C37" s="49" t="str">
        <f>'Secret. Escolar'!$C$37</f>
        <v/>
      </c>
      <c r="D37" s="69"/>
      <c r="E37" s="69"/>
    </row>
    <row r="38">
      <c r="A38" s="67">
        <v>33.0</v>
      </c>
      <c r="B38" s="49" t="str">
        <f>'Secret. Escolar'!$B$38</f>
        <v/>
      </c>
      <c r="C38" s="49" t="str">
        <f>'Secret. Escolar'!$C$38</f>
        <v/>
      </c>
      <c r="D38" s="69"/>
      <c r="E38" s="69"/>
    </row>
    <row r="39">
      <c r="A39" s="67">
        <v>34.0</v>
      </c>
      <c r="B39" s="49" t="str">
        <f>'Secret. Escolar'!$B$39</f>
        <v/>
      </c>
      <c r="C39" s="49" t="str">
        <f>'Secret. Escolar'!$C$39</f>
        <v/>
      </c>
      <c r="D39" s="69"/>
      <c r="E39" s="69"/>
    </row>
    <row r="40">
      <c r="A40" s="67">
        <v>35.0</v>
      </c>
      <c r="B40" s="49" t="str">
        <f>'Secret. Escolar'!$B$40</f>
        <v/>
      </c>
      <c r="C40" s="49" t="str">
        <f>'Secret. Escolar'!$C$40</f>
        <v/>
      </c>
      <c r="D40" s="69"/>
      <c r="E40" s="69"/>
    </row>
    <row r="41">
      <c r="A41" s="67">
        <v>36.0</v>
      </c>
      <c r="B41" s="49" t="str">
        <f>'Secret. Escolar'!$B$41</f>
        <v/>
      </c>
      <c r="C41" s="49" t="str">
        <f>'Secret. Escolar'!$C$41</f>
        <v/>
      </c>
      <c r="D41" s="69"/>
      <c r="E41" s="69"/>
    </row>
    <row r="42">
      <c r="A42" s="67">
        <v>37.0</v>
      </c>
      <c r="B42" s="49" t="str">
        <f>'Secret. Escolar'!$B$42</f>
        <v/>
      </c>
      <c r="C42" s="49" t="str">
        <f>'Secret. Escolar'!$C$42</f>
        <v/>
      </c>
      <c r="D42" s="69"/>
      <c r="E42" s="69"/>
    </row>
    <row r="43">
      <c r="A43" s="67">
        <v>38.0</v>
      </c>
      <c r="B43" s="49" t="str">
        <f>'Secret. Escolar'!$B$43</f>
        <v/>
      </c>
      <c r="C43" s="49" t="str">
        <f>'Secret. Escolar'!$C$43</f>
        <v/>
      </c>
      <c r="D43" s="69"/>
      <c r="E43" s="69"/>
    </row>
    <row r="44">
      <c r="A44" s="67">
        <v>39.0</v>
      </c>
      <c r="B44" s="49" t="str">
        <f>'Secret. Escolar'!$B$44</f>
        <v/>
      </c>
      <c r="C44" s="49" t="str">
        <f>'Secret. Escolar'!$C$44</f>
        <v/>
      </c>
      <c r="D44" s="69"/>
      <c r="E44" s="69"/>
    </row>
    <row r="45">
      <c r="A45" s="67">
        <v>40.0</v>
      </c>
      <c r="B45" s="49" t="str">
        <f>'Secret. Escolar'!$B$45</f>
        <v/>
      </c>
      <c r="C45" s="49" t="str">
        <f>'Secret. Escolar'!$C$45</f>
        <v/>
      </c>
      <c r="D45" s="69"/>
      <c r="E45" s="69"/>
    </row>
    <row r="46">
      <c r="A46" s="67">
        <v>41.0</v>
      </c>
      <c r="B46" s="49" t="str">
        <f>'Secret. Escolar'!$B$46</f>
        <v/>
      </c>
      <c r="C46" s="49" t="str">
        <f>'Secret. Escolar'!$C$46</f>
        <v/>
      </c>
      <c r="D46" s="69"/>
      <c r="E46" s="69"/>
    </row>
    <row r="47">
      <c r="A47" s="67">
        <v>42.0</v>
      </c>
      <c r="B47" s="49" t="str">
        <f>'Secret. Escolar'!$B$47</f>
        <v/>
      </c>
      <c r="C47" s="49" t="str">
        <f>'Secret. Escolar'!$C$47</f>
        <v/>
      </c>
      <c r="D47" s="69"/>
      <c r="E47" s="69"/>
    </row>
    <row r="48">
      <c r="A48" s="67">
        <v>43.0</v>
      </c>
      <c r="B48" s="49" t="str">
        <f>'Secret. Escolar'!$B$48</f>
        <v/>
      </c>
      <c r="C48" s="49" t="str">
        <f>'Secret. Escolar'!$C$48</f>
        <v/>
      </c>
      <c r="D48" s="69"/>
      <c r="E48" s="69"/>
    </row>
    <row r="49">
      <c r="A49" s="67">
        <v>44.0</v>
      </c>
      <c r="B49" s="49" t="str">
        <f>'Secret. Escolar'!$B$49</f>
        <v/>
      </c>
      <c r="C49" s="49" t="str">
        <f>'Secret. Escolar'!$C$49</f>
        <v/>
      </c>
      <c r="D49" s="69"/>
      <c r="E49" s="69"/>
    </row>
    <row r="50">
      <c r="A50" s="67">
        <v>45.0</v>
      </c>
      <c r="B50" s="49" t="str">
        <f>'Secret. Escolar'!$B$50</f>
        <v/>
      </c>
      <c r="C50" s="49" t="str">
        <f>'Secret. Escolar'!$C$50</f>
        <v/>
      </c>
      <c r="D50" s="69"/>
      <c r="E50" s="69"/>
    </row>
    <row r="51">
      <c r="A51" s="67">
        <v>46.0</v>
      </c>
      <c r="B51" s="49" t="str">
        <f>'Secret. Escolar'!$B$51</f>
        <v/>
      </c>
      <c r="C51" s="49" t="str">
        <f>'Secret. Escolar'!$C$51</f>
        <v/>
      </c>
      <c r="D51" s="69"/>
      <c r="E51" s="69"/>
    </row>
    <row r="52">
      <c r="A52" s="67">
        <v>47.0</v>
      </c>
      <c r="B52" s="49" t="str">
        <f>'Secret. Escolar'!$B$52</f>
        <v/>
      </c>
      <c r="C52" s="49" t="str">
        <f>'Secret. Escolar'!$C$52</f>
        <v/>
      </c>
      <c r="D52" s="69"/>
      <c r="E52" s="69"/>
    </row>
    <row r="53">
      <c r="A53" s="67">
        <v>48.0</v>
      </c>
      <c r="B53" s="49" t="str">
        <f>'Secret. Escolar'!$B$53</f>
        <v/>
      </c>
      <c r="C53" s="49" t="str">
        <f>'Secret. Escolar'!$C$53</f>
        <v/>
      </c>
      <c r="D53" s="69"/>
      <c r="E53" s="69"/>
    </row>
    <row r="54">
      <c r="A54" s="67">
        <v>49.0</v>
      </c>
      <c r="B54" s="49" t="str">
        <f>'Secret. Escolar'!$B$54</f>
        <v/>
      </c>
      <c r="C54" s="49" t="str">
        <f>'Secret. Escolar'!$C$54</f>
        <v/>
      </c>
      <c r="D54" s="69"/>
      <c r="E54" s="69"/>
    </row>
    <row r="55">
      <c r="A55" s="67">
        <v>50.0</v>
      </c>
      <c r="B55" s="49" t="str">
        <f>'Secret. Escolar'!$B$55</f>
        <v/>
      </c>
      <c r="C55" s="49" t="str">
        <f>'Secret. Escolar'!$C$55</f>
        <v/>
      </c>
      <c r="D55" s="69"/>
      <c r="E55" s="69"/>
    </row>
    <row r="58">
      <c r="B58" s="100" t="str">
        <f>"Professor(a): "&amp;Capa!G35</f>
        <v>Professor(a): ITAMAR VIEIRA NUNES</v>
      </c>
      <c r="D58" s="101" t="s">
        <v>75</v>
      </c>
    </row>
    <row r="59">
      <c r="D59" s="9" t="s">
        <v>76</v>
      </c>
    </row>
  </sheetData>
  <mergeCells count="7">
    <mergeCell ref="A1:C2"/>
    <mergeCell ref="D1:E2"/>
    <mergeCell ref="A3:A5"/>
    <mergeCell ref="B3:B4"/>
    <mergeCell ref="C3:C5"/>
    <mergeCell ref="D3:D5"/>
    <mergeCell ref="E3:E5"/>
  </mergeCells>
  <printOptions horizontalCentered="1"/>
  <pageMargins bottom="0.19685039370078738" footer="0.0" header="0.0" left="0.19685039370078738" right="0.19685039370078738" top="0.48339471678943363"/>
  <pageSetup paperSize="9" cellComments="atEnd" orientation="portrait" pageOrder="overThenDown"/>
  <colBreaks count="2" manualBreakCount="2">
    <brk man="1"/>
    <brk id="5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3.88"/>
    <col customWidth="1" min="2" max="2" width="35.25"/>
    <col customWidth="1" min="3" max="3" width="13.38"/>
    <col customWidth="1" min="4" max="4" width="8.63"/>
    <col customWidth="1" min="5" max="6" width="4.88"/>
    <col customWidth="1" min="7" max="7" width="4.38"/>
    <col customWidth="1" min="8" max="8" width="4.63"/>
    <col customWidth="1" min="9" max="9" width="10.88"/>
    <col customWidth="1" min="10" max="10" width="19.88"/>
  </cols>
  <sheetData>
    <row r="1">
      <c r="A1" s="105" t="str">
        <f>Capa!$C$38&amp;Capa!K38&amp;"    2° Semestre"</f>
        <v>Componente Curricular:     2° Semestre</v>
      </c>
      <c r="D1" s="106" t="str">
        <f>"Ano: "&amp;Capa!F30&amp;"     Turma: "&amp;Capa!N30&amp;"       Turno: "&amp;Capa!F32&amp;"    Ano Letivo: "&amp;Capa!O32&amp;"    "</f>
        <v>Ano: 2°     Turma: D       Turno: Vespertino    Ano Letivo: 2026    </v>
      </c>
    </row>
    <row r="2">
      <c r="D2" s="107" t="str">
        <f>"Professor(a): "&amp;Capa!G35</f>
        <v>Professor(a): ITAMAR VIEIRA NUNES</v>
      </c>
    </row>
    <row r="3">
      <c r="A3" s="106" t="s">
        <v>77</v>
      </c>
      <c r="D3" s="108" t="s">
        <v>78</v>
      </c>
    </row>
    <row r="4" ht="78.0" customHeight="1">
      <c r="A4" s="109" t="s">
        <v>79</v>
      </c>
      <c r="B4" s="110" t="s">
        <v>61</v>
      </c>
      <c r="C4" s="111" t="s">
        <v>80</v>
      </c>
      <c r="D4" s="112" t="s">
        <v>81</v>
      </c>
      <c r="E4" s="113" t="s">
        <v>82</v>
      </c>
      <c r="F4" s="113" t="s">
        <v>83</v>
      </c>
      <c r="G4" s="113" t="s">
        <v>84</v>
      </c>
      <c r="H4" s="113" t="s">
        <v>85</v>
      </c>
      <c r="I4" s="114" t="s">
        <v>86</v>
      </c>
      <c r="J4" s="115" t="s">
        <v>87</v>
      </c>
    </row>
    <row r="5">
      <c r="A5" s="116">
        <v>1.0</v>
      </c>
      <c r="B5" s="49" t="str">
        <f>'Secret. Escolar'!$B$6</f>
        <v>Adriana Sofia Gonzalez Torres</v>
      </c>
      <c r="C5" s="50" t="str">
        <f>'Secret. Escolar'!$C$6</f>
        <v/>
      </c>
      <c r="D5" s="117"/>
      <c r="E5" s="118"/>
      <c r="F5" s="118"/>
      <c r="G5" s="118"/>
      <c r="H5" s="118"/>
      <c r="I5" s="119" t="str">
        <f t="shared" ref="I5:I46" si="1">IFERROR(G5/(H5*H5), "")</f>
        <v/>
      </c>
      <c r="J5" s="120" t="str">
        <f t="array" ref="J5">IFERROR(IF(I5 &lt; INDEX('Referência'!$B$2:$B$21, MATCH(F5&amp;E5, 'Referência'!$A$2:$A$21, 0)), "Abaixo do peso", IF(I5 &lt; INDEX('Referência'!$C$2:$C$21, MATCH(F5&amp;E5, 'Referência'!$A$2:$A$21, 0)), "Normal", IF(I5 &lt; INDEX('Referência'!$D$2:$D$21, MATCH(F5&amp;E5, 'Referência'!$A$2:$A$21, 0)), "Sobrepeso", "Obesidade"))), "")</f>
        <v/>
      </c>
    </row>
    <row r="6">
      <c r="A6" s="116">
        <v>2.0</v>
      </c>
      <c r="B6" s="49" t="str">
        <f>'Secret. Escolar'!$B$7</f>
        <v>Alyson Lucas de Sousa Alencar</v>
      </c>
      <c r="C6" s="49" t="str">
        <f>'Secret. Escolar'!$C$7</f>
        <v/>
      </c>
      <c r="D6" s="121"/>
      <c r="E6" s="118"/>
      <c r="F6" s="118"/>
      <c r="G6" s="118"/>
      <c r="H6" s="118"/>
      <c r="I6" s="119" t="str">
        <f t="shared" si="1"/>
        <v/>
      </c>
      <c r="J6" s="120" t="str">
        <f t="array" ref="J6">IFERROR(IF(I6 &lt; INDEX('Referência'!$B$2:$B$21, MATCH(F6&amp;E6, 'Referência'!$A$2:$A$21, 0)), "Abaixo do peso", IF(I6 &lt; INDEX('Referência'!$C$2:$C$21, MATCH(F6&amp;E6, 'Referência'!$A$2:$A$21, 0)), "Normal", IF(I6 &lt; INDEX('Referência'!$D$2:$D$21, MATCH(F6&amp;E6, 'Referência'!$A$2:$A$21, 0)), "Sobrepeso", "Obesidade"))), "")</f>
        <v/>
      </c>
    </row>
    <row r="7">
      <c r="A7" s="116">
        <v>3.0</v>
      </c>
      <c r="B7" s="49" t="str">
        <f>'Secret. Escolar'!$B$8</f>
        <v>Ana Clara Silva Zanolim</v>
      </c>
      <c r="C7" s="49" t="str">
        <f>'Secret. Escolar'!$C$8</f>
        <v/>
      </c>
      <c r="D7" s="121"/>
      <c r="E7" s="118"/>
      <c r="F7" s="118"/>
      <c r="G7" s="118"/>
      <c r="H7" s="118"/>
      <c r="I7" s="119" t="str">
        <f t="shared" si="1"/>
        <v/>
      </c>
      <c r="J7" s="120" t="str">
        <f t="array" ref="J7">IFERROR(IF(I7 &lt; INDEX('Referência'!$B$2:$B$21, MATCH(F7&amp;E7, 'Referência'!$A$2:$A$21, 0)), "Abaixo do peso", IF(I7 &lt; INDEX('Referência'!$C$2:$C$21, MATCH(F7&amp;E7, 'Referência'!$A$2:$A$21, 0)), "Normal", IF(I7 &lt; INDEX('Referência'!$D$2:$D$21, MATCH(F7&amp;E7, 'Referência'!$A$2:$A$21, 0)), "Sobrepeso", "Obesidade"))), "")</f>
        <v/>
      </c>
    </row>
    <row r="8">
      <c r="A8" s="116">
        <v>4.0</v>
      </c>
      <c r="B8" s="49" t="str">
        <f>'Secret. Escolar'!$B$9</f>
        <v>Antônio Alves Pereira de Souza</v>
      </c>
      <c r="C8" s="49" t="str">
        <f>'Secret. Escolar'!$C$9</f>
        <v/>
      </c>
      <c r="D8" s="122"/>
      <c r="E8" s="123"/>
      <c r="F8" s="123"/>
      <c r="G8" s="124"/>
      <c r="H8" s="124"/>
      <c r="I8" s="119" t="str">
        <f t="shared" si="1"/>
        <v/>
      </c>
      <c r="J8" s="120" t="str">
        <f t="array" ref="J8">IFERROR(IF(I8 &lt; INDEX('Referência'!$B$2:$B$21, MATCH(F8&amp;E8, 'Referência'!$A$2:$A$21, 0)), "Abaixo do peso", IF(I8 &lt; INDEX('Referência'!$C$2:$C$21, MATCH(F8&amp;E8, 'Referência'!$A$2:$A$21, 0)), "Normal", IF(I8 &lt; INDEX('Referência'!$D$2:$D$21, MATCH(F8&amp;E8, 'Referência'!$A$2:$A$21, 0)), "Sobrepeso", "Obesidade"))), "")</f>
        <v/>
      </c>
    </row>
    <row r="9">
      <c r="A9" s="116">
        <v>5.0</v>
      </c>
      <c r="B9" s="49" t="str">
        <f>'Secret. Escolar'!$B$10</f>
        <v>Cecília Resende dos Santos</v>
      </c>
      <c r="C9" s="49" t="str">
        <f>'Secret. Escolar'!$C$10</f>
        <v/>
      </c>
      <c r="D9" s="121"/>
      <c r="E9" s="118"/>
      <c r="F9" s="118"/>
      <c r="G9" s="118"/>
      <c r="H9" s="118"/>
      <c r="I9" s="119" t="str">
        <f t="shared" si="1"/>
        <v/>
      </c>
      <c r="J9" s="120" t="str">
        <f t="array" ref="J9">IFERROR(IF(I9 &lt; INDEX('Referência'!$B$2:$B$21, MATCH(F9&amp;E9, 'Referência'!$A$2:$A$21, 0)), "Abaixo do peso", IF(I9 &lt; INDEX('Referência'!$C$2:$C$21, MATCH(F9&amp;E9, 'Referência'!$A$2:$A$21, 0)), "Normal", IF(I9 &lt; INDEX('Referência'!$D$2:$D$21, MATCH(F9&amp;E9, 'Referência'!$A$2:$A$21, 0)), "Sobrepeso", "Obesidade"))), "")</f>
        <v/>
      </c>
    </row>
    <row r="10">
      <c r="A10" s="116">
        <v>6.0</v>
      </c>
      <c r="B10" s="49" t="str">
        <f>'Secret. Escolar'!$B$11</f>
        <v>Emanuelly Vale da Silva</v>
      </c>
      <c r="C10" s="49" t="str">
        <f>'Secret. Escolar'!$C$11</f>
        <v/>
      </c>
      <c r="D10" s="121"/>
      <c r="E10" s="118"/>
      <c r="F10" s="118"/>
      <c r="G10" s="118"/>
      <c r="H10" s="118"/>
      <c r="I10" s="119" t="str">
        <f t="shared" si="1"/>
        <v/>
      </c>
      <c r="J10" s="120" t="str">
        <f t="array" ref="J10">IFERROR(IF(I10 &lt; INDEX('Referência'!$B$2:$B$21, MATCH(F10&amp;E10, 'Referência'!$A$2:$A$21, 0)), "Abaixo do peso", IF(I10 &lt; INDEX('Referência'!$C$2:$C$21, MATCH(F10&amp;E10, 'Referência'!$A$2:$A$21, 0)), "Normal", IF(I10 &lt; INDEX('Referência'!$D$2:$D$21, MATCH(F10&amp;E10, 'Referência'!$A$2:$A$21, 0)), "Sobrepeso", "Obesidade"))), "")</f>
        <v/>
      </c>
    </row>
    <row r="11">
      <c r="A11" s="116">
        <v>7.0</v>
      </c>
      <c r="B11" s="49" t="str">
        <f>'Secret. Escolar'!$B$12</f>
        <v>Glloria Vitorya Moreira do Vale</v>
      </c>
      <c r="C11" s="49" t="str">
        <f>'Secret. Escolar'!$C$12</f>
        <v/>
      </c>
      <c r="D11" s="121"/>
      <c r="E11" s="118"/>
      <c r="F11" s="118"/>
      <c r="G11" s="118"/>
      <c r="H11" s="118"/>
      <c r="I11" s="119" t="str">
        <f t="shared" si="1"/>
        <v/>
      </c>
      <c r="J11" s="120" t="str">
        <f t="array" ref="J11">IFERROR(IF(I11 &lt; INDEX('Referência'!$B$2:$B$21, MATCH(F11&amp;E11, 'Referência'!$A$2:$A$21, 0)), "Abaixo do peso", IF(I11 &lt; INDEX('Referência'!$C$2:$C$21, MATCH(F11&amp;E11, 'Referência'!$A$2:$A$21, 0)), "Normal", IF(I11 &lt; INDEX('Referência'!$D$2:$D$21, MATCH(F11&amp;E11, 'Referência'!$A$2:$A$21, 0)), "Sobrepeso", "Obesidade"))), "")</f>
        <v/>
      </c>
    </row>
    <row r="12">
      <c r="A12" s="116">
        <v>8.0</v>
      </c>
      <c r="B12" s="49" t="str">
        <f>'Secret. Escolar'!$B$13</f>
        <v>Izabelly Vitória Pereira Muniz</v>
      </c>
      <c r="C12" s="49" t="str">
        <f>'Secret. Escolar'!$C$13</f>
        <v/>
      </c>
      <c r="D12" s="121"/>
      <c r="E12" s="118"/>
      <c r="F12" s="118"/>
      <c r="G12" s="118"/>
      <c r="H12" s="118"/>
      <c r="I12" s="119" t="str">
        <f t="shared" si="1"/>
        <v/>
      </c>
      <c r="J12" s="120" t="str">
        <f t="array" ref="J12">IFERROR(IF(I12 &lt; INDEX('Referência'!$B$2:$B$21, MATCH(F12&amp;E12, 'Referência'!$A$2:$A$21, 0)), "Abaixo do peso", IF(I12 &lt; INDEX('Referência'!$C$2:$C$21, MATCH(F12&amp;E12, 'Referência'!$A$2:$A$21, 0)), "Normal", IF(I12 &lt; INDEX('Referência'!$D$2:$D$21, MATCH(F12&amp;E12, 'Referência'!$A$2:$A$21, 0)), "Sobrepeso", "Obesidade"))), "")</f>
        <v/>
      </c>
    </row>
    <row r="13">
      <c r="A13" s="116">
        <v>9.0</v>
      </c>
      <c r="B13" s="49" t="str">
        <f>'Secret. Escolar'!$B$14</f>
        <v>Kaleu Carneiro Mesquita Tavares</v>
      </c>
      <c r="C13" s="49" t="str">
        <f>'Secret. Escolar'!$C$14</f>
        <v/>
      </c>
      <c r="D13" s="121"/>
      <c r="E13" s="118"/>
      <c r="F13" s="118"/>
      <c r="G13" s="118"/>
      <c r="H13" s="118"/>
      <c r="I13" s="119" t="str">
        <f t="shared" si="1"/>
        <v/>
      </c>
      <c r="J13" s="120" t="str">
        <f t="array" ref="J13">IFERROR(IF(I13 &lt; INDEX('Referência'!$B$2:$B$21, MATCH(F13&amp;E13, 'Referência'!$A$2:$A$21, 0)), "Abaixo do peso", IF(I13 &lt; INDEX('Referência'!$C$2:$C$21, MATCH(F13&amp;E13, 'Referência'!$A$2:$A$21, 0)), "Normal", IF(I13 &lt; INDEX('Referência'!$D$2:$D$21, MATCH(F13&amp;E13, 'Referência'!$A$2:$A$21, 0)), "Sobrepeso", "Obesidade"))), "")</f>
        <v/>
      </c>
    </row>
    <row r="14">
      <c r="A14" s="116">
        <v>10.0</v>
      </c>
      <c r="B14" s="51" t="str">
        <f>'Secret. Escolar'!$B$15</f>
        <v>Lelimar Sofia Reyes Febres</v>
      </c>
      <c r="C14" s="49" t="str">
        <f>'Secret. Escolar'!$C$15</f>
        <v/>
      </c>
      <c r="D14" s="121"/>
      <c r="E14" s="118"/>
      <c r="F14" s="118"/>
      <c r="G14" s="118"/>
      <c r="H14" s="118"/>
      <c r="I14" s="119" t="str">
        <f t="shared" si="1"/>
        <v/>
      </c>
      <c r="J14" s="120" t="str">
        <f t="array" ref="J14">IFERROR(IF(I14 &lt; INDEX('Referência'!$B$2:$B$21, MATCH(F14&amp;E14, 'Referência'!$A$2:$A$21, 0)), "Abaixo do peso", IF(I14 &lt; INDEX('Referência'!$C$2:$C$21, MATCH(F14&amp;E14, 'Referência'!$A$2:$A$21, 0)), "Normal", IF(I14 &lt; INDEX('Referência'!$D$2:$D$21, MATCH(F14&amp;E14, 'Referência'!$A$2:$A$21, 0)), "Sobrepeso", "Obesidade"))), "")</f>
        <v/>
      </c>
    </row>
    <row r="15">
      <c r="A15" s="116">
        <v>11.0</v>
      </c>
      <c r="B15" s="49" t="str">
        <f>'Secret. Escolar'!$B$16</f>
        <v>Luiz Gustavo Rodrigues Carneiro</v>
      </c>
      <c r="C15" s="49" t="str">
        <f>'Secret. Escolar'!$C$16</f>
        <v/>
      </c>
      <c r="D15" s="121"/>
      <c r="E15" s="118"/>
      <c r="F15" s="118"/>
      <c r="G15" s="118"/>
      <c r="H15" s="118"/>
      <c r="I15" s="119" t="str">
        <f t="shared" si="1"/>
        <v/>
      </c>
      <c r="J15" s="120" t="str">
        <f t="array" ref="J15">IFERROR(IF(I15 &lt; INDEX('Referência'!$B$2:$B$21, MATCH(F15&amp;E15, 'Referência'!$A$2:$A$21, 0)), "Abaixo do peso", IF(I15 &lt; INDEX('Referência'!$C$2:$C$21, MATCH(F15&amp;E15, 'Referência'!$A$2:$A$21, 0)), "Normal", IF(I15 &lt; INDEX('Referência'!$D$2:$D$21, MATCH(F15&amp;E15, 'Referência'!$A$2:$A$21, 0)), "Sobrepeso", "Obesidade"))), "")</f>
        <v/>
      </c>
    </row>
    <row r="16">
      <c r="A16" s="116">
        <v>12.0</v>
      </c>
      <c r="B16" s="49" t="str">
        <f>'Secret. Escolar'!$B$17</f>
        <v>Luiz Otávio Santos de Sousa</v>
      </c>
      <c r="C16" s="49" t="str">
        <f>'Secret. Escolar'!$C$17</f>
        <v/>
      </c>
      <c r="D16" s="121"/>
      <c r="E16" s="118"/>
      <c r="F16" s="118"/>
      <c r="G16" s="118"/>
      <c r="H16" s="118"/>
      <c r="I16" s="119" t="str">
        <f t="shared" si="1"/>
        <v/>
      </c>
      <c r="J16" s="120" t="str">
        <f t="array" ref="J16">IFERROR(IF(I16 &lt; INDEX('Referência'!$B$2:$B$21, MATCH(F16&amp;E16, 'Referência'!$A$2:$A$21, 0)), "Abaixo do peso", IF(I16 &lt; INDEX('Referência'!$C$2:$C$21, MATCH(F16&amp;E16, 'Referência'!$A$2:$A$21, 0)), "Normal", IF(I16 &lt; INDEX('Referência'!$D$2:$D$21, MATCH(F16&amp;E16, 'Referência'!$A$2:$A$21, 0)), "Sobrepeso", "Obesidade"))), "")</f>
        <v/>
      </c>
    </row>
    <row r="17">
      <c r="A17" s="116">
        <v>13.0</v>
      </c>
      <c r="B17" s="49" t="str">
        <f>'Secret. Escolar'!$B$18</f>
        <v>Maria Valentina de Souza</v>
      </c>
      <c r="C17" s="49" t="str">
        <f>'Secret. Escolar'!$C$18</f>
        <v/>
      </c>
      <c r="D17" s="121"/>
      <c r="E17" s="118"/>
      <c r="F17" s="118"/>
      <c r="G17" s="118"/>
      <c r="H17" s="118"/>
      <c r="I17" s="119" t="str">
        <f t="shared" si="1"/>
        <v/>
      </c>
      <c r="J17" s="120" t="str">
        <f t="array" ref="J17">IFERROR(IF(I17 &lt; INDEX('Referência'!$B$2:$B$21, MATCH(F17&amp;E17, 'Referência'!$A$2:$A$21, 0)), "Abaixo do peso", IF(I17 &lt; INDEX('Referência'!$C$2:$C$21, MATCH(F17&amp;E17, 'Referência'!$A$2:$A$21, 0)), "Normal", IF(I17 &lt; INDEX('Referência'!$D$2:$D$21, MATCH(F17&amp;E17, 'Referência'!$A$2:$A$21, 0)), "Sobrepeso", "Obesidade"))), "")</f>
        <v/>
      </c>
    </row>
    <row r="18">
      <c r="A18" s="116">
        <v>14.0</v>
      </c>
      <c r="B18" s="49" t="str">
        <f>'Secret. Escolar'!$B$19</f>
        <v>Maysa Barros Caitano dos Santos</v>
      </c>
      <c r="C18" s="49" t="str">
        <f>'Secret. Escolar'!$C$19</f>
        <v/>
      </c>
      <c r="D18" s="117"/>
      <c r="E18" s="118"/>
      <c r="F18" s="118"/>
      <c r="G18" s="118"/>
      <c r="H18" s="118"/>
      <c r="I18" s="119" t="str">
        <f t="shared" si="1"/>
        <v/>
      </c>
      <c r="J18" s="120" t="str">
        <f t="array" ref="J18">IFERROR(IF(I18 &lt; INDEX('Referência'!$B$2:$B$21, MATCH(F18&amp;E18, 'Referência'!$A$2:$A$21, 0)), "Abaixo do peso", IF(I18 &lt; INDEX('Referência'!$C$2:$C$21, MATCH(F18&amp;E18, 'Referência'!$A$2:$A$21, 0)), "Normal", IF(I18 &lt; INDEX('Referência'!$D$2:$D$21, MATCH(F18&amp;E18, 'Referência'!$A$2:$A$21, 0)), "Sobrepeso", "Obesidade"))), "")</f>
        <v/>
      </c>
    </row>
    <row r="19">
      <c r="A19" s="116">
        <v>15.0</v>
      </c>
      <c r="B19" s="49" t="str">
        <f>'Secret. Escolar'!$B$20</f>
        <v>Melissa Oliveira Magalhães</v>
      </c>
      <c r="C19" s="49" t="str">
        <f>'Secret. Escolar'!$C$20</f>
        <v/>
      </c>
      <c r="D19" s="125"/>
      <c r="E19" s="118"/>
      <c r="F19" s="118"/>
      <c r="G19" s="118"/>
      <c r="H19" s="118"/>
      <c r="I19" s="119" t="str">
        <f t="shared" si="1"/>
        <v/>
      </c>
      <c r="J19" s="120" t="str">
        <f t="array" ref="J19">IFERROR(IF(I19 &lt; INDEX('Referência'!$B$2:$B$21, MATCH(F19&amp;E19, 'Referência'!$A$2:$A$21, 0)), "Abaixo do peso", IF(I19 &lt; INDEX('Referência'!$C$2:$C$21, MATCH(F19&amp;E19, 'Referência'!$A$2:$A$21, 0)), "Normal", IF(I19 &lt; INDEX('Referência'!$D$2:$D$21, MATCH(F19&amp;E19, 'Referência'!$A$2:$A$21, 0)), "Sobrepeso", "Obesidade"))), "")</f>
        <v/>
      </c>
    </row>
    <row r="20">
      <c r="A20" s="116">
        <v>16.0</v>
      </c>
      <c r="B20" s="49" t="str">
        <f>'Secret. Escolar'!$B$21</f>
        <v>Neilson de Oliveira Carneiro</v>
      </c>
      <c r="C20" s="49" t="str">
        <f>'Secret. Escolar'!$C$21</f>
        <v/>
      </c>
      <c r="D20" s="121"/>
      <c r="E20" s="118"/>
      <c r="F20" s="118"/>
      <c r="G20" s="118"/>
      <c r="H20" s="118"/>
      <c r="I20" s="119" t="str">
        <f t="shared" si="1"/>
        <v/>
      </c>
      <c r="J20" s="120" t="str">
        <f t="array" ref="J20">IFERROR(IF(I20 &lt; INDEX('Referência'!$B$2:$B$21, MATCH(F20&amp;E20, 'Referência'!$A$2:$A$21, 0)), "Abaixo do peso", IF(I20 &lt; INDEX('Referência'!$C$2:$C$21, MATCH(F20&amp;E20, 'Referência'!$A$2:$A$21, 0)), "Normal", IF(I20 &lt; INDEX('Referência'!$D$2:$D$21, MATCH(F20&amp;E20, 'Referência'!$A$2:$A$21, 0)), "Sobrepeso", "Obesidade"))), "")</f>
        <v/>
      </c>
    </row>
    <row r="21">
      <c r="A21" s="116">
        <v>17.0</v>
      </c>
      <c r="B21" s="49" t="str">
        <f>'Secret. Escolar'!$B$22</f>
        <v>Sarah Gabrielle Coelho Lopes</v>
      </c>
      <c r="C21" s="49" t="str">
        <f>'Secret. Escolar'!$C$22</f>
        <v/>
      </c>
      <c r="D21" s="121"/>
      <c r="E21" s="118"/>
      <c r="F21" s="118"/>
      <c r="G21" s="118"/>
      <c r="H21" s="118"/>
      <c r="I21" s="119" t="str">
        <f t="shared" si="1"/>
        <v/>
      </c>
      <c r="J21" s="120" t="str">
        <f t="array" ref="J21">IFERROR(IF(I21 &lt; INDEX('Referência'!$B$2:$B$21, MATCH(F21&amp;E21, 'Referência'!$A$2:$A$21, 0)), "Abaixo do peso", IF(I21 &lt; INDEX('Referência'!$C$2:$C$21, MATCH(F21&amp;E21, 'Referência'!$A$2:$A$21, 0)), "Normal", IF(I21 &lt; INDEX('Referência'!$D$2:$D$21, MATCH(F21&amp;E21, 'Referência'!$A$2:$A$21, 0)), "Sobrepeso", "Obesidade"))), "")</f>
        <v/>
      </c>
    </row>
    <row r="22">
      <c r="A22" s="116">
        <v>18.0</v>
      </c>
      <c r="B22" s="49" t="str">
        <f>'Secret. Escolar'!$B$23</f>
        <v>Sophia Pereira de Oliveira</v>
      </c>
      <c r="C22" s="49" t="str">
        <f>'Secret. Escolar'!$C$23</f>
        <v/>
      </c>
      <c r="D22" s="121"/>
      <c r="E22" s="118"/>
      <c r="F22" s="118"/>
      <c r="G22" s="118"/>
      <c r="H22" s="118"/>
      <c r="I22" s="119" t="str">
        <f t="shared" si="1"/>
        <v/>
      </c>
      <c r="J22" s="120" t="str">
        <f t="array" ref="J22">IFERROR(IF(I22 &lt; INDEX('Referência'!$B$2:$B$21, MATCH(F22&amp;E22, 'Referência'!$A$2:$A$21, 0)), "Abaixo do peso", IF(I22 &lt; INDEX('Referência'!$C$2:$C$21, MATCH(F22&amp;E22, 'Referência'!$A$2:$A$21, 0)), "Normal", IF(I22 &lt; INDEX('Referência'!$D$2:$D$21, MATCH(F22&amp;E22, 'Referência'!$A$2:$A$21, 0)), "Sobrepeso", "Obesidade"))), "")</f>
        <v/>
      </c>
    </row>
    <row r="23">
      <c r="A23" s="116">
        <v>19.0</v>
      </c>
      <c r="B23" s="49" t="str">
        <f>'Secret. Escolar'!$B$24</f>
        <v>Wuilmer Adrian Ramos Salazar</v>
      </c>
      <c r="C23" s="49" t="str">
        <f>'Secret. Escolar'!$C$24</f>
        <v/>
      </c>
      <c r="D23" s="121"/>
      <c r="E23" s="118"/>
      <c r="F23" s="118"/>
      <c r="G23" s="118"/>
      <c r="H23" s="118"/>
      <c r="I23" s="119" t="str">
        <f t="shared" si="1"/>
        <v/>
      </c>
      <c r="J23" s="120" t="str">
        <f t="array" ref="J23">IFERROR(IF(I23 &lt; INDEX('Referência'!$B$2:$B$21, MATCH(F23&amp;E23, 'Referência'!$A$2:$A$21, 0)), "Abaixo do peso", IF(I23 &lt; INDEX('Referência'!$C$2:$C$21, MATCH(F23&amp;E23, 'Referência'!$A$2:$A$21, 0)), "Normal", IF(I23 &lt; INDEX('Referência'!$D$2:$D$21, MATCH(F23&amp;E23, 'Referência'!$A$2:$A$21, 0)), "Sobrepeso", "Obesidade"))), "")</f>
        <v/>
      </c>
    </row>
    <row r="24">
      <c r="A24" s="116">
        <v>20.0</v>
      </c>
      <c r="B24" s="49" t="str">
        <f>'Secret. Escolar'!$B$25</f>
        <v/>
      </c>
      <c r="C24" s="49" t="str">
        <f>'Secret. Escolar'!$C$25</f>
        <v/>
      </c>
      <c r="D24" s="121"/>
      <c r="E24" s="118"/>
      <c r="F24" s="118"/>
      <c r="G24" s="118"/>
      <c r="H24" s="118"/>
      <c r="I24" s="119" t="str">
        <f t="shared" si="1"/>
        <v/>
      </c>
      <c r="J24" s="120" t="str">
        <f t="array" ref="J24">IFERROR(IF(I24 &lt; INDEX('Referência'!$B$2:$B$21, MATCH(F24&amp;E24, 'Referência'!$A$2:$A$21, 0)), "Abaixo do peso", IF(I24 &lt; INDEX('Referência'!$C$2:$C$21, MATCH(F24&amp;E24, 'Referência'!$A$2:$A$21, 0)), "Normal", IF(I24 &lt; INDEX('Referência'!$D$2:$D$21, MATCH(F24&amp;E24, 'Referência'!$A$2:$A$21, 0)), "Sobrepeso", "Obesidade"))), "")</f>
        <v/>
      </c>
    </row>
    <row r="25">
      <c r="A25" s="116">
        <v>21.0</v>
      </c>
      <c r="B25" s="49" t="str">
        <f>'Secret. Escolar'!$B$26</f>
        <v/>
      </c>
      <c r="C25" s="49" t="str">
        <f>'Secret. Escolar'!$C$26</f>
        <v/>
      </c>
      <c r="D25" s="121"/>
      <c r="E25" s="118"/>
      <c r="F25" s="118"/>
      <c r="G25" s="118"/>
      <c r="H25" s="118"/>
      <c r="I25" s="119" t="str">
        <f t="shared" si="1"/>
        <v/>
      </c>
      <c r="J25" s="120" t="str">
        <f t="array" ref="J25">IFERROR(IF(I25 &lt; INDEX('Referência'!$B$2:$B$21, MATCH(F25&amp;E25, 'Referência'!$A$2:$A$21, 0)), "Abaixo do peso", IF(I25 &lt; INDEX('Referência'!$C$2:$C$21, MATCH(F25&amp;E25, 'Referência'!$A$2:$A$21, 0)), "Normal", IF(I25 &lt; INDEX('Referência'!$D$2:$D$21, MATCH(F25&amp;E25, 'Referência'!$A$2:$A$21, 0)), "Sobrepeso", "Obesidade"))), "")</f>
        <v/>
      </c>
    </row>
    <row r="26">
      <c r="A26" s="116">
        <v>22.0</v>
      </c>
      <c r="B26" s="49" t="str">
        <f>'Secret. Escolar'!$B$27</f>
        <v/>
      </c>
      <c r="C26" s="49" t="str">
        <f>'Secret. Escolar'!$C$27</f>
        <v/>
      </c>
      <c r="D26" s="117"/>
      <c r="E26" s="118"/>
      <c r="F26" s="118"/>
      <c r="G26" s="118"/>
      <c r="H26" s="118"/>
      <c r="I26" s="119" t="str">
        <f t="shared" si="1"/>
        <v/>
      </c>
      <c r="J26" s="120" t="str">
        <f t="array" ref="J26">IFERROR(IF(I26 &lt; INDEX('Referência'!$B$2:$B$21, MATCH(F26&amp;E26, 'Referência'!$A$2:$A$21, 0)), "Abaixo do peso", IF(I26 &lt; INDEX('Referência'!$C$2:$C$21, MATCH(F26&amp;E26, 'Referência'!$A$2:$A$21, 0)), "Normal", IF(I26 &lt; INDEX('Referência'!$D$2:$D$21, MATCH(F26&amp;E26, 'Referência'!$A$2:$A$21, 0)), "Sobrepeso", "Obesidade"))), "")</f>
        <v/>
      </c>
    </row>
    <row r="27">
      <c r="A27" s="116">
        <v>23.0</v>
      </c>
      <c r="B27" s="49" t="str">
        <f>'Secret. Escolar'!$B$28</f>
        <v/>
      </c>
      <c r="C27" s="49" t="str">
        <f>'Secret. Escolar'!$C$28</f>
        <v/>
      </c>
      <c r="D27" s="121"/>
      <c r="E27" s="118"/>
      <c r="F27" s="118"/>
      <c r="G27" s="118"/>
      <c r="H27" s="118"/>
      <c r="I27" s="119" t="str">
        <f t="shared" si="1"/>
        <v/>
      </c>
      <c r="J27" s="120" t="str">
        <f t="array" ref="J27">IFERROR(IF(I27 &lt; INDEX('Referência'!$B$2:$B$21, MATCH(F27&amp;E27, 'Referência'!$A$2:$A$21, 0)), "Abaixo do peso", IF(I27 &lt; INDEX('Referência'!$C$2:$C$21, MATCH(F27&amp;E27, 'Referência'!$A$2:$A$21, 0)), "Normal", IF(I27 &lt; INDEX('Referência'!$D$2:$D$21, MATCH(F27&amp;E27, 'Referência'!$A$2:$A$21, 0)), "Sobrepeso", "Obesidade"))), "")</f>
        <v/>
      </c>
    </row>
    <row r="28">
      <c r="A28" s="116">
        <v>24.0</v>
      </c>
      <c r="B28" s="49" t="str">
        <f>'Secret. Escolar'!$B$29</f>
        <v/>
      </c>
      <c r="C28" s="49" t="str">
        <f>'Secret. Escolar'!$C$29</f>
        <v/>
      </c>
      <c r="D28" s="121"/>
      <c r="E28" s="118"/>
      <c r="F28" s="118"/>
      <c r="G28" s="118"/>
      <c r="H28" s="118"/>
      <c r="I28" s="119" t="str">
        <f t="shared" si="1"/>
        <v/>
      </c>
      <c r="J28" s="120" t="str">
        <f t="array" ref="J28">IFERROR(IF(I28 &lt; INDEX('Referência'!$B$2:$B$21, MATCH(F28&amp;E28, 'Referência'!$A$2:$A$21, 0)), "Abaixo do peso", IF(I28 &lt; INDEX('Referência'!$C$2:$C$21, MATCH(F28&amp;E28, 'Referência'!$A$2:$A$21, 0)), "Normal", IF(I28 &lt; INDEX('Referência'!$D$2:$D$21, MATCH(F28&amp;E28, 'Referência'!$A$2:$A$21, 0)), "Sobrepeso", "Obesidade"))), "")</f>
        <v/>
      </c>
    </row>
    <row r="29">
      <c r="A29" s="116">
        <v>25.0</v>
      </c>
      <c r="B29" s="49" t="str">
        <f>'Secret. Escolar'!$B$30</f>
        <v/>
      </c>
      <c r="C29" s="49" t="str">
        <f>'Secret. Escolar'!$C$30</f>
        <v/>
      </c>
      <c r="D29" s="121"/>
      <c r="E29" s="118"/>
      <c r="F29" s="118"/>
      <c r="G29" s="118"/>
      <c r="H29" s="118"/>
      <c r="I29" s="119" t="str">
        <f t="shared" si="1"/>
        <v/>
      </c>
      <c r="J29" s="120" t="str">
        <f t="array" ref="J29">IFERROR(IF(I29 &lt; INDEX('Referência'!$B$2:$B$21, MATCH(F29&amp;E29, 'Referência'!$A$2:$A$21, 0)), "Abaixo do peso", IF(I29 &lt; INDEX('Referência'!$C$2:$C$21, MATCH(F29&amp;E29, 'Referência'!$A$2:$A$21, 0)), "Normal", IF(I29 &lt; INDEX('Referência'!$D$2:$D$21, MATCH(F29&amp;E29, 'Referência'!$A$2:$A$21, 0)), "Sobrepeso", "Obesidade"))), "")</f>
        <v/>
      </c>
    </row>
    <row r="30">
      <c r="A30" s="116">
        <v>26.0</v>
      </c>
      <c r="B30" s="49" t="str">
        <f>'Secret. Escolar'!$B$31</f>
        <v/>
      </c>
      <c r="C30" s="49" t="str">
        <f>'Secret. Escolar'!$C$31</f>
        <v/>
      </c>
      <c r="D30" s="121"/>
      <c r="E30" s="118"/>
      <c r="F30" s="118"/>
      <c r="G30" s="118"/>
      <c r="H30" s="118"/>
      <c r="I30" s="119" t="str">
        <f t="shared" si="1"/>
        <v/>
      </c>
      <c r="J30" s="120" t="str">
        <f t="array" ref="J30">IFERROR(IF(I30 &lt; INDEX('Referência'!$B$2:$B$21, MATCH(F30&amp;E30, 'Referência'!$A$2:$A$21, 0)), "Abaixo do peso", IF(I30 &lt; INDEX('Referência'!$C$2:$C$21, MATCH(F30&amp;E30, 'Referência'!$A$2:$A$21, 0)), "Normal", IF(I30 &lt; INDEX('Referência'!$D$2:$D$21, MATCH(F30&amp;E30, 'Referência'!$A$2:$A$21, 0)), "Sobrepeso", "Obesidade"))), "")</f>
        <v/>
      </c>
    </row>
    <row r="31">
      <c r="A31" s="116">
        <v>27.0</v>
      </c>
      <c r="B31" s="49" t="str">
        <f>'Secret. Escolar'!$B$32</f>
        <v/>
      </c>
      <c r="C31" s="49" t="str">
        <f>'Secret. Escolar'!$C$32</f>
        <v/>
      </c>
      <c r="D31" s="121"/>
      <c r="E31" s="118"/>
      <c r="F31" s="118"/>
      <c r="G31" s="118"/>
      <c r="H31" s="118"/>
      <c r="I31" s="119" t="str">
        <f t="shared" si="1"/>
        <v/>
      </c>
      <c r="J31" s="120" t="str">
        <f t="array" ref="J31">IFERROR(IF(I31 &lt; INDEX('Referência'!$B$2:$B$21, MATCH(F31&amp;E31, 'Referência'!$A$2:$A$21, 0)), "Abaixo do peso", IF(I31 &lt; INDEX('Referência'!$C$2:$C$21, MATCH(F31&amp;E31, 'Referência'!$A$2:$A$21, 0)), "Normal", IF(I31 &lt; INDEX('Referência'!$D$2:$D$21, MATCH(F31&amp;E31, 'Referência'!$A$2:$A$21, 0)), "Sobrepeso", "Obesidade"))), "")</f>
        <v/>
      </c>
    </row>
    <row r="32">
      <c r="A32" s="116">
        <v>28.0</v>
      </c>
      <c r="B32" s="49" t="str">
        <f>'Secret. Escolar'!$B$33</f>
        <v/>
      </c>
      <c r="C32" s="49" t="str">
        <f>'Secret. Escolar'!$C$33</f>
        <v/>
      </c>
      <c r="D32" s="121"/>
      <c r="E32" s="118"/>
      <c r="F32" s="118"/>
      <c r="G32" s="118"/>
      <c r="H32" s="118"/>
      <c r="I32" s="119" t="str">
        <f t="shared" si="1"/>
        <v/>
      </c>
      <c r="J32" s="120" t="str">
        <f t="array" ref="J32">IFERROR(IF(I32 &lt; INDEX('Referência'!$B$2:$B$21, MATCH(F32&amp;E32, 'Referência'!$A$2:$A$21, 0)), "Abaixo do peso", IF(I32 &lt; INDEX('Referência'!$C$2:$C$21, MATCH(F32&amp;E32, 'Referência'!$A$2:$A$21, 0)), "Normal", IF(I32 &lt; INDEX('Referência'!$D$2:$D$21, MATCH(F32&amp;E32, 'Referência'!$A$2:$A$21, 0)), "Sobrepeso", "Obesidade"))), "")</f>
        <v/>
      </c>
    </row>
    <row r="33">
      <c r="A33" s="116">
        <v>29.0</v>
      </c>
      <c r="B33" s="49" t="str">
        <f>'Secret. Escolar'!$B$34</f>
        <v/>
      </c>
      <c r="C33" s="49" t="str">
        <f>'Secret. Escolar'!$C$34</f>
        <v/>
      </c>
      <c r="D33" s="126"/>
      <c r="E33" s="127"/>
      <c r="F33" s="127"/>
      <c r="G33" s="128"/>
      <c r="H33" s="128"/>
      <c r="I33" s="119" t="str">
        <f t="shared" si="1"/>
        <v/>
      </c>
      <c r="J33" s="120" t="str">
        <f t="array" ref="J33">IFERROR(IF(I33 &lt; INDEX('Referência'!$B$2:$B$21, MATCH(F33&amp;E33, 'Referência'!$A$2:$A$21, 0)), "Abaixo do peso", IF(I33 &lt; INDEX('Referência'!$C$2:$C$21, MATCH(F33&amp;E33, 'Referência'!$A$2:$A$21, 0)), "Normal", IF(I33 &lt; INDEX('Referência'!$D$2:$D$21, MATCH(F33&amp;E33, 'Referência'!$A$2:$A$21, 0)), "Sobrepeso", "Obesidade"))), "")</f>
        <v/>
      </c>
    </row>
    <row r="34">
      <c r="A34" s="116">
        <v>30.0</v>
      </c>
      <c r="B34" s="49" t="str">
        <f>'Secret. Escolar'!$B$35</f>
        <v/>
      </c>
      <c r="C34" s="49" t="str">
        <f>'Secret. Escolar'!$C$35</f>
        <v/>
      </c>
      <c r="D34" s="126"/>
      <c r="E34" s="127"/>
      <c r="F34" s="127"/>
      <c r="G34" s="128"/>
      <c r="H34" s="128"/>
      <c r="I34" s="119" t="str">
        <f t="shared" si="1"/>
        <v/>
      </c>
      <c r="J34" s="120" t="str">
        <f t="array" ref="J34">IFERROR(IF(I34 &lt; INDEX('Referência'!$B$2:$B$21, MATCH(F34&amp;E34, 'Referência'!$A$2:$A$21, 0)), "Abaixo do peso", IF(I34 &lt; INDEX('Referência'!$C$2:$C$21, MATCH(F34&amp;E34, 'Referência'!$A$2:$A$21, 0)), "Normal", IF(I34 &lt; INDEX('Referência'!$D$2:$D$21, MATCH(F34&amp;E34, 'Referência'!$A$2:$A$21, 0)), "Sobrepeso", "Obesidade"))), "")</f>
        <v/>
      </c>
    </row>
    <row r="35">
      <c r="A35" s="116">
        <v>31.0</v>
      </c>
      <c r="B35" s="49" t="str">
        <f>'Secret. Escolar'!$B$36</f>
        <v/>
      </c>
      <c r="C35" s="49" t="str">
        <f>'Secret. Escolar'!$C$36</f>
        <v/>
      </c>
      <c r="D35" s="126"/>
      <c r="E35" s="127"/>
      <c r="F35" s="127"/>
      <c r="G35" s="128"/>
      <c r="H35" s="128"/>
      <c r="I35" s="119" t="str">
        <f t="shared" si="1"/>
        <v/>
      </c>
      <c r="J35" s="120" t="str">
        <f t="array" ref="J35">IFERROR(IF(I35 &lt; INDEX('Referência'!$B$2:$B$21, MATCH(F35&amp;E35, 'Referência'!$A$2:$A$21, 0)), "Abaixo do peso", IF(I35 &lt; INDEX('Referência'!$C$2:$C$21, MATCH(F35&amp;E35, 'Referência'!$A$2:$A$21, 0)), "Normal", IF(I35 &lt; INDEX('Referência'!$D$2:$D$21, MATCH(F35&amp;E35, 'Referência'!$A$2:$A$21, 0)), "Sobrepeso", "Obesidade"))), "")</f>
        <v/>
      </c>
    </row>
    <row r="36">
      <c r="A36" s="116">
        <v>32.0</v>
      </c>
      <c r="B36" s="49" t="str">
        <f>'Secret. Escolar'!$B$37</f>
        <v/>
      </c>
      <c r="C36" s="49" t="str">
        <f>'Secret. Escolar'!$C$37</f>
        <v/>
      </c>
      <c r="D36" s="126"/>
      <c r="E36" s="127"/>
      <c r="F36" s="127"/>
      <c r="G36" s="128"/>
      <c r="H36" s="128"/>
      <c r="I36" s="119" t="str">
        <f t="shared" si="1"/>
        <v/>
      </c>
      <c r="J36" s="120" t="str">
        <f t="array" ref="J36">IFERROR(IF(I36 &lt; INDEX('Referência'!$B$2:$B$21, MATCH(F36&amp;E36, 'Referência'!$A$2:$A$21, 0)), "Abaixo do peso", IF(I36 &lt; INDEX('Referência'!$C$2:$C$21, MATCH(F36&amp;E36, 'Referência'!$A$2:$A$21, 0)), "Normal", IF(I36 &lt; INDEX('Referência'!$D$2:$D$21, MATCH(F36&amp;E36, 'Referência'!$A$2:$A$21, 0)), "Sobrepeso", "Obesidade"))), "")</f>
        <v/>
      </c>
    </row>
    <row r="37">
      <c r="A37" s="116">
        <v>33.0</v>
      </c>
      <c r="B37" s="49" t="str">
        <f>'Secret. Escolar'!$B$38</f>
        <v/>
      </c>
      <c r="C37" s="49" t="str">
        <f>'Secret. Escolar'!$C$38</f>
        <v/>
      </c>
      <c r="D37" s="126"/>
      <c r="E37" s="127"/>
      <c r="F37" s="127"/>
      <c r="G37" s="128"/>
      <c r="H37" s="128"/>
      <c r="I37" s="119" t="str">
        <f t="shared" si="1"/>
        <v/>
      </c>
      <c r="J37" s="120" t="str">
        <f t="array" ref="J37">IFERROR(IF(I37 &lt; INDEX('Referência'!$B$2:$B$21, MATCH(F37&amp;E37, 'Referência'!$A$2:$A$21, 0)), "Abaixo do peso", IF(I37 &lt; INDEX('Referência'!$C$2:$C$21, MATCH(F37&amp;E37, 'Referência'!$A$2:$A$21, 0)), "Normal", IF(I37 &lt; INDEX('Referência'!$D$2:$D$21, MATCH(F37&amp;E37, 'Referência'!$A$2:$A$21, 0)), "Sobrepeso", "Obesidade"))), "")</f>
        <v/>
      </c>
    </row>
    <row r="38">
      <c r="A38" s="116">
        <v>34.0</v>
      </c>
      <c r="B38" s="49" t="str">
        <f>'Secret. Escolar'!$B$39</f>
        <v/>
      </c>
      <c r="C38" s="49" t="str">
        <f>'Secret. Escolar'!$C$39</f>
        <v/>
      </c>
      <c r="D38" s="126"/>
      <c r="E38" s="127"/>
      <c r="F38" s="127"/>
      <c r="G38" s="128"/>
      <c r="H38" s="128"/>
      <c r="I38" s="119" t="str">
        <f t="shared" si="1"/>
        <v/>
      </c>
      <c r="J38" s="120" t="str">
        <f t="array" ref="J38">IFERROR(IF(I38 &lt; INDEX('Referência'!$B$2:$B$21, MATCH(F38&amp;E38, 'Referência'!$A$2:$A$21, 0)), "Abaixo do peso", IF(I38 &lt; INDEX('Referência'!$C$2:$C$21, MATCH(F38&amp;E38, 'Referência'!$A$2:$A$21, 0)), "Normal", IF(I38 &lt; INDEX('Referência'!$D$2:$D$21, MATCH(F38&amp;E38, 'Referência'!$A$2:$A$21, 0)), "Sobrepeso", "Obesidade"))), "")</f>
        <v/>
      </c>
    </row>
    <row r="39">
      <c r="A39" s="116">
        <v>35.0</v>
      </c>
      <c r="B39" s="49" t="str">
        <f>'Secret. Escolar'!$B$40</f>
        <v/>
      </c>
      <c r="C39" s="49" t="str">
        <f>'Secret. Escolar'!$C$40</f>
        <v/>
      </c>
      <c r="D39" s="126"/>
      <c r="E39" s="127"/>
      <c r="F39" s="127"/>
      <c r="G39" s="128"/>
      <c r="H39" s="128"/>
      <c r="I39" s="119" t="str">
        <f t="shared" si="1"/>
        <v/>
      </c>
      <c r="J39" s="120" t="str">
        <f t="array" ref="J39">IFERROR(IF(I39 &lt; INDEX('Referência'!$B$2:$B$21, MATCH(F39&amp;E39, 'Referência'!$A$2:$A$21, 0)), "Abaixo do peso", IF(I39 &lt; INDEX('Referência'!$C$2:$C$21, MATCH(F39&amp;E39, 'Referência'!$A$2:$A$21, 0)), "Normal", IF(I39 &lt; INDEX('Referência'!$D$2:$D$21, MATCH(F39&amp;E39, 'Referência'!$A$2:$A$21, 0)), "Sobrepeso", "Obesidade"))), "")</f>
        <v/>
      </c>
    </row>
    <row r="40">
      <c r="A40" s="116">
        <v>36.0</v>
      </c>
      <c r="B40" s="49" t="str">
        <f>'Secret. Escolar'!$B$41</f>
        <v/>
      </c>
      <c r="C40" s="49" t="str">
        <f>'Secret. Escolar'!$C$41</f>
        <v/>
      </c>
      <c r="D40" s="126"/>
      <c r="E40" s="127"/>
      <c r="F40" s="127"/>
      <c r="G40" s="128"/>
      <c r="H40" s="128"/>
      <c r="I40" s="119" t="str">
        <f t="shared" si="1"/>
        <v/>
      </c>
      <c r="J40" s="120" t="str">
        <f t="array" ref="J40">IFERROR(IF(I40 &lt; INDEX('Referência'!$B$2:$B$21, MATCH(F40&amp;E40, 'Referência'!$A$2:$A$21, 0)), "Abaixo do peso", IF(I40 &lt; INDEX('Referência'!$C$2:$C$21, MATCH(F40&amp;E40, 'Referência'!$A$2:$A$21, 0)), "Normal", IF(I40 &lt; INDEX('Referência'!$D$2:$D$21, MATCH(F40&amp;E40, 'Referência'!$A$2:$A$21, 0)), "Sobrepeso", "Obesidade"))), "")</f>
        <v/>
      </c>
    </row>
    <row r="41">
      <c r="A41" s="116">
        <v>37.0</v>
      </c>
      <c r="B41" s="49" t="str">
        <f>'Secret. Escolar'!$B$42</f>
        <v/>
      </c>
      <c r="C41" s="49" t="str">
        <f>'Secret. Escolar'!$C$42</f>
        <v/>
      </c>
      <c r="D41" s="126"/>
      <c r="E41" s="127"/>
      <c r="F41" s="127"/>
      <c r="G41" s="128"/>
      <c r="H41" s="128"/>
      <c r="I41" s="119" t="str">
        <f t="shared" si="1"/>
        <v/>
      </c>
      <c r="J41" s="120" t="str">
        <f t="array" ref="J41">IFERROR(IF(I41 &lt; INDEX('Referência'!$B$2:$B$21, MATCH(F41&amp;E41, 'Referência'!$A$2:$A$21, 0)), "Abaixo do peso", IF(I41 &lt; INDEX('Referência'!$C$2:$C$21, MATCH(F41&amp;E41, 'Referência'!$A$2:$A$21, 0)), "Normal", IF(I41 &lt; INDEX('Referência'!$D$2:$D$21, MATCH(F41&amp;E41, 'Referência'!$A$2:$A$21, 0)), "Sobrepeso", "Obesidade"))), "")</f>
        <v/>
      </c>
    </row>
    <row r="42">
      <c r="A42" s="116">
        <v>38.0</v>
      </c>
      <c r="B42" s="49" t="str">
        <f>'Secret. Escolar'!$B$43</f>
        <v/>
      </c>
      <c r="C42" s="49" t="str">
        <f>'Secret. Escolar'!$C$43</f>
        <v/>
      </c>
      <c r="D42" s="126"/>
      <c r="E42" s="127"/>
      <c r="F42" s="127"/>
      <c r="G42" s="128"/>
      <c r="H42" s="128"/>
      <c r="I42" s="119" t="str">
        <f t="shared" si="1"/>
        <v/>
      </c>
      <c r="J42" s="120" t="str">
        <f t="array" ref="J42">IFERROR(IF(I42 &lt; INDEX('Referência'!$B$2:$B$21, MATCH(F42&amp;E42, 'Referência'!$A$2:$A$21, 0)), "Abaixo do peso", IF(I42 &lt; INDEX('Referência'!$C$2:$C$21, MATCH(F42&amp;E42, 'Referência'!$A$2:$A$21, 0)), "Normal", IF(I42 &lt; INDEX('Referência'!$D$2:$D$21, MATCH(F42&amp;E42, 'Referência'!$A$2:$A$21, 0)), "Sobrepeso", "Obesidade"))), "")</f>
        <v/>
      </c>
    </row>
    <row r="43">
      <c r="A43" s="116">
        <v>39.0</v>
      </c>
      <c r="B43" s="49" t="str">
        <f>'Secret. Escolar'!$B$44</f>
        <v/>
      </c>
      <c r="C43" s="49" t="str">
        <f>'Secret. Escolar'!$C$44</f>
        <v/>
      </c>
      <c r="D43" s="126"/>
      <c r="E43" s="127"/>
      <c r="F43" s="127"/>
      <c r="G43" s="128"/>
      <c r="H43" s="128"/>
      <c r="I43" s="119" t="str">
        <f t="shared" si="1"/>
        <v/>
      </c>
      <c r="J43" s="120" t="str">
        <f t="array" ref="J43">IFERROR(IF(I43 &lt; INDEX('Referência'!$B$2:$B$21, MATCH(F43&amp;E43, 'Referência'!$A$2:$A$21, 0)), "Abaixo do peso", IF(I43 &lt; INDEX('Referência'!$C$2:$C$21, MATCH(F43&amp;E43, 'Referência'!$A$2:$A$21, 0)), "Normal", IF(I43 &lt; INDEX('Referência'!$D$2:$D$21, MATCH(F43&amp;E43, 'Referência'!$A$2:$A$21, 0)), "Sobrepeso", "Obesidade"))), "")</f>
        <v/>
      </c>
    </row>
    <row r="44">
      <c r="A44" s="116">
        <v>40.0</v>
      </c>
      <c r="B44" s="49" t="str">
        <f>'Secret. Escolar'!$B$45</f>
        <v/>
      </c>
      <c r="C44" s="49" t="str">
        <f>'Secret. Escolar'!$C$45</f>
        <v/>
      </c>
      <c r="D44" s="126"/>
      <c r="E44" s="127"/>
      <c r="F44" s="127"/>
      <c r="G44" s="128"/>
      <c r="H44" s="128"/>
      <c r="I44" s="119" t="str">
        <f t="shared" si="1"/>
        <v/>
      </c>
      <c r="J44" s="120" t="str">
        <f t="array" ref="J44">IFERROR(IF(I44 &lt; INDEX('Referência'!$B$2:$B$21, MATCH(F44&amp;E44, 'Referência'!$A$2:$A$21, 0)), "Abaixo do peso", IF(I44 &lt; INDEX('Referência'!$C$2:$C$21, MATCH(F44&amp;E44, 'Referência'!$A$2:$A$21, 0)), "Normal", IF(I44 &lt; INDEX('Referência'!$D$2:$D$21, MATCH(F44&amp;E44, 'Referência'!$A$2:$A$21, 0)), "Sobrepeso", "Obesidade"))), "")</f>
        <v/>
      </c>
    </row>
    <row r="45">
      <c r="A45" s="116">
        <v>41.0</v>
      </c>
      <c r="B45" s="49" t="str">
        <f>'Secret. Escolar'!$B$46</f>
        <v/>
      </c>
      <c r="C45" s="49" t="str">
        <f>'Secret. Escolar'!$C$46</f>
        <v/>
      </c>
      <c r="D45" s="126"/>
      <c r="E45" s="127"/>
      <c r="F45" s="127"/>
      <c r="G45" s="128"/>
      <c r="H45" s="128"/>
      <c r="I45" s="119" t="str">
        <f t="shared" si="1"/>
        <v/>
      </c>
      <c r="J45" s="120" t="str">
        <f t="array" ref="J45">IFERROR(IF(I45 &lt; INDEX('Referência'!$B$2:$B$21, MATCH(F45&amp;E45, 'Referência'!$A$2:$A$21, 0)), "Abaixo do peso", IF(I45 &lt; INDEX('Referência'!$C$2:$C$21, MATCH(F45&amp;E45, 'Referência'!$A$2:$A$21, 0)), "Normal", IF(I45 &lt; INDEX('Referência'!$D$2:$D$21, MATCH(F45&amp;E45, 'Referência'!$A$2:$A$21, 0)), "Sobrepeso", "Obesidade"))), "")</f>
        <v/>
      </c>
    </row>
    <row r="46">
      <c r="A46" s="116">
        <v>42.0</v>
      </c>
      <c r="B46" s="49" t="str">
        <f>'Secret. Escolar'!$B$47</f>
        <v/>
      </c>
      <c r="C46" s="49" t="str">
        <f>'Secret. Escolar'!$C$47</f>
        <v/>
      </c>
      <c r="D46" s="126"/>
      <c r="E46" s="127"/>
      <c r="F46" s="127"/>
      <c r="G46" s="128"/>
      <c r="H46" s="128"/>
      <c r="I46" s="119" t="str">
        <f t="shared" si="1"/>
        <v/>
      </c>
      <c r="J46" s="120" t="str">
        <f t="array" ref="J46">IFERROR(IF(I46 &lt; INDEX('Referência'!$B$2:$B$21, MATCH(F46&amp;E46, 'Referência'!$A$2:$A$21, 0)), "Abaixo do peso", IF(I46 &lt; INDEX('Referência'!$C$2:$C$21, MATCH(F46&amp;E46, 'Referência'!$A$2:$A$21, 0)), "Normal", IF(I46 &lt; INDEX('Referência'!$D$2:$D$21, MATCH(F46&amp;E46, 'Referência'!$A$2:$A$21, 0)), "Sobrepeso", "Obesidade"))), "")</f>
        <v/>
      </c>
    </row>
    <row r="47">
      <c r="A47" s="129"/>
      <c r="B47" s="49"/>
      <c r="C47" s="49" t="str">
        <f>'Secret. Escolar'!$C$49</f>
        <v/>
      </c>
      <c r="D47" s="130"/>
      <c r="E47" s="130"/>
      <c r="F47" s="130"/>
      <c r="G47" s="130"/>
      <c r="H47" s="130"/>
      <c r="I47" s="131" t="str">
        <f>"Professor(a): "&amp;Capa!G35</f>
        <v>Professor(a): ITAMAR VIEIRA NUNES</v>
      </c>
      <c r="J47" s="16"/>
    </row>
    <row r="48" ht="27.75" customHeight="1">
      <c r="A48" s="132" t="s">
        <v>88</v>
      </c>
      <c r="B48" s="16"/>
      <c r="C48" s="49" t="str">
        <f>'Secret. Escolar'!$C$50</f>
        <v/>
      </c>
      <c r="D48" s="130"/>
      <c r="E48" s="130"/>
      <c r="F48" s="130"/>
      <c r="G48" s="130"/>
      <c r="H48" s="130"/>
      <c r="I48" s="133"/>
      <c r="J48" s="16"/>
    </row>
    <row r="49">
      <c r="A49" s="134"/>
      <c r="B49" s="135" t="s">
        <v>89</v>
      </c>
      <c r="C49" s="49" t="str">
        <f>'Secret. Escolar'!$C$51</f>
        <v/>
      </c>
      <c r="D49" s="130"/>
      <c r="E49" s="130"/>
      <c r="F49" s="130"/>
      <c r="G49" s="130"/>
      <c r="H49" s="130"/>
      <c r="I49" s="136" t="s">
        <v>90</v>
      </c>
      <c r="J49" s="16"/>
    </row>
    <row r="50">
      <c r="A50" s="137"/>
      <c r="B50" s="135" t="s">
        <v>91</v>
      </c>
      <c r="C50" s="49" t="str">
        <f>'Secret. Escolar'!$C$52</f>
        <v/>
      </c>
      <c r="D50" s="130"/>
      <c r="E50" s="130"/>
      <c r="F50" s="130"/>
      <c r="G50" s="130"/>
      <c r="H50" s="130"/>
      <c r="I50" s="138"/>
      <c r="J50" s="139"/>
    </row>
    <row r="51">
      <c r="A51" s="140"/>
      <c r="B51" s="49" t="s">
        <v>92</v>
      </c>
      <c r="C51" s="49" t="str">
        <f>'Secret. Escolar'!$C$53</f>
        <v/>
      </c>
      <c r="D51" s="130"/>
      <c r="E51" s="130"/>
      <c r="F51" s="130"/>
      <c r="G51" s="130"/>
      <c r="H51" s="130"/>
      <c r="I51" s="94"/>
      <c r="J51" s="141"/>
    </row>
    <row r="52">
      <c r="A52" s="142"/>
      <c r="B52" s="49" t="s">
        <v>93</v>
      </c>
      <c r="C52" s="49" t="str">
        <f>'Secret. Escolar'!$C$54</f>
        <v/>
      </c>
      <c r="D52" s="130"/>
      <c r="E52" s="130"/>
      <c r="F52" s="130"/>
      <c r="G52" s="130"/>
      <c r="H52" s="130"/>
      <c r="I52" s="94"/>
      <c r="J52" s="141"/>
    </row>
    <row r="53">
      <c r="A53" s="129"/>
      <c r="B53" s="49"/>
      <c r="C53" s="49" t="str">
        <f>'Secret. Escolar'!$C$55</f>
        <v/>
      </c>
      <c r="D53" s="130"/>
      <c r="E53" s="130"/>
      <c r="F53" s="130"/>
      <c r="G53" s="130"/>
      <c r="H53" s="130"/>
      <c r="I53" s="136" t="s">
        <v>94</v>
      </c>
      <c r="J53" s="16"/>
    </row>
  </sheetData>
  <mergeCells count="11">
    <mergeCell ref="I48:J48"/>
    <mergeCell ref="I49:J49"/>
    <mergeCell ref="I50:J52"/>
    <mergeCell ref="I53:J53"/>
    <mergeCell ref="A1:C2"/>
    <mergeCell ref="D1:J1"/>
    <mergeCell ref="D2:J2"/>
    <mergeCell ref="A3:C3"/>
    <mergeCell ref="D3:J3"/>
    <mergeCell ref="I47:J47"/>
    <mergeCell ref="A48:B48"/>
  </mergeCells>
  <conditionalFormatting sqref="J5:J46">
    <cfRule type="cellIs" dxfId="4" priority="1" operator="equal">
      <formula>"Normal"</formula>
    </cfRule>
  </conditionalFormatting>
  <conditionalFormatting sqref="J5:J46">
    <cfRule type="cellIs" dxfId="1" priority="2" operator="equal">
      <formula>"Sobrepeso"</formula>
    </cfRule>
  </conditionalFormatting>
  <conditionalFormatting sqref="J5:J46">
    <cfRule type="cellIs" dxfId="2" priority="3" operator="equal">
      <formula>"Obesidade"</formula>
    </cfRule>
  </conditionalFormatting>
  <conditionalFormatting sqref="J5:J46">
    <cfRule type="cellIs" dxfId="3" priority="4" operator="equal">
      <formula>"Abaixo do peso"</formula>
    </cfRule>
  </conditionalFormatting>
  <printOptions horizontalCentered="1"/>
  <pageMargins bottom="0.19685039370078738" footer="0.0" header="0.0" left="0.19685039370078738" right="0.19685039370078738" top="0.19685039370078738"/>
  <pageSetup paperSize="9" scale="74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25"/>
    <col customWidth="1" min="2" max="2" width="33.13"/>
    <col customWidth="1" min="3" max="3" width="11.63"/>
    <col customWidth="1" min="4" max="4" width="5.5"/>
    <col customWidth="1" min="5" max="5" width="5.38"/>
    <col customWidth="1" min="6" max="6" width="4.88"/>
    <col customWidth="1" min="7" max="8" width="4.63"/>
    <col customWidth="1" min="9" max="9" width="4.5"/>
    <col customWidth="1" min="10" max="10" width="4.75"/>
    <col customWidth="1" min="11" max="11" width="4.63"/>
    <col customWidth="1" min="12" max="12" width="5.0"/>
    <col customWidth="1" min="13" max="13" width="8.0"/>
  </cols>
  <sheetData>
    <row r="1">
      <c r="A1" s="143" t="str">
        <f>"Componente Curricular: "&amp;Capa!J38&amp;""</f>
        <v>Componente Curricular: Educaçao Física</v>
      </c>
      <c r="D1" s="144" t="str">
        <f>"Ano: "&amp;Capa!F30&amp;"     Turma: "&amp;Capa!N30&amp;"    Turno: "&amp;Capa!F32&amp;"   Ano Letivo: "&amp;Capa!O32&amp;"    2º Semestre"&amp;"    "</f>
        <v>Ano: 2°     Turma: D    Turno: Vespertino   Ano Letivo: 2026    2º Semestre    </v>
      </c>
    </row>
    <row r="2">
      <c r="A2" s="20"/>
      <c r="B2" s="20"/>
      <c r="C2" s="20"/>
      <c r="D2" s="145" t="str">
        <f>"Professor(a): "&amp;Capa!G35</f>
        <v>Professor(a): ITAMAR VIEIRA NUNES</v>
      </c>
    </row>
    <row r="3" ht="18.75" customHeight="1">
      <c r="A3" s="55" t="s">
        <v>95</v>
      </c>
      <c r="B3" s="146" t="s">
        <v>61</v>
      </c>
      <c r="C3" s="147" t="s">
        <v>59</v>
      </c>
      <c r="D3" s="148" t="s">
        <v>96</v>
      </c>
      <c r="E3" s="15"/>
      <c r="F3" s="15"/>
      <c r="G3" s="15"/>
      <c r="H3" s="15"/>
      <c r="I3" s="15"/>
      <c r="J3" s="15"/>
      <c r="K3" s="16"/>
      <c r="L3" s="149" t="s">
        <v>97</v>
      </c>
      <c r="M3" s="149" t="s">
        <v>98</v>
      </c>
    </row>
    <row r="4" ht="15.75" customHeight="1">
      <c r="A4" s="45"/>
      <c r="B4" s="141"/>
      <c r="C4" s="150">
        <f>SUM('Reg. Aulas 3º Bim'!C37,'Reg. Aulas 4º Bim'!C37)</f>
        <v>0</v>
      </c>
      <c r="D4" s="151" t="s">
        <v>99</v>
      </c>
      <c r="E4" s="15"/>
      <c r="F4" s="15"/>
      <c r="G4" s="15"/>
      <c r="H4" s="15"/>
      <c r="I4" s="15"/>
      <c r="J4" s="15"/>
      <c r="K4" s="16"/>
      <c r="L4" s="45"/>
      <c r="M4" s="45"/>
    </row>
    <row r="5" ht="82.5" customHeight="1">
      <c r="A5" s="48"/>
      <c r="B5" s="21"/>
      <c r="C5" s="152" t="s">
        <v>100</v>
      </c>
      <c r="D5" s="153" t="s">
        <v>101</v>
      </c>
      <c r="E5" s="153" t="s">
        <v>102</v>
      </c>
      <c r="F5" s="153" t="s">
        <v>103</v>
      </c>
      <c r="G5" s="153" t="s">
        <v>104</v>
      </c>
      <c r="H5" s="153" t="s">
        <v>105</v>
      </c>
      <c r="I5" s="153" t="s">
        <v>106</v>
      </c>
      <c r="J5" s="154" t="s">
        <v>107</v>
      </c>
      <c r="K5" s="155" t="s">
        <v>108</v>
      </c>
      <c r="L5" s="48"/>
      <c r="M5" s="48"/>
    </row>
    <row r="6">
      <c r="A6" s="116">
        <v>1.0</v>
      </c>
      <c r="B6" s="49" t="str">
        <f>'Secret. Escolar'!$B$6</f>
        <v>Adriana Sofia Gonzalez Torres</v>
      </c>
      <c r="C6" s="50" t="str">
        <f>'Secret. Escolar'!$C$6</f>
        <v/>
      </c>
      <c r="D6" s="156"/>
      <c r="E6" s="157"/>
      <c r="F6" s="156"/>
      <c r="G6" s="156"/>
      <c r="H6" s="156"/>
      <c r="I6" s="156"/>
      <c r="J6" s="158"/>
      <c r="K6" s="157"/>
      <c r="L6" s="159">
        <f>SUM('Frequência 3º Bim'!AI6,'Frequência 4º Bim'!AI6)</f>
        <v>0</v>
      </c>
      <c r="M6" s="160" t="str">
        <f t="shared" ref="M6:M55" si="1">IFERROR((C4-L6)*1/C4, "")</f>
        <v/>
      </c>
    </row>
    <row r="7">
      <c r="A7" s="116">
        <v>2.0</v>
      </c>
      <c r="B7" s="49" t="str">
        <f>'Secret. Escolar'!$B$7</f>
        <v>Alyson Lucas de Sousa Alencar</v>
      </c>
      <c r="C7" s="49" t="str">
        <f>'Secret. Escolar'!$C$7</f>
        <v/>
      </c>
      <c r="D7" s="156"/>
      <c r="E7" s="161"/>
      <c r="F7" s="156"/>
      <c r="G7" s="156"/>
      <c r="H7" s="156"/>
      <c r="I7" s="156"/>
      <c r="J7" s="156"/>
      <c r="K7" s="157"/>
      <c r="L7" s="159">
        <f>SUM('Frequência 3º Bim'!AI7,'Frequência 4º Bim'!AI7)</f>
        <v>0</v>
      </c>
      <c r="M7" s="160" t="str">
        <f t="shared" si="1"/>
        <v/>
      </c>
    </row>
    <row r="8">
      <c r="A8" s="116">
        <v>3.0</v>
      </c>
      <c r="B8" s="49" t="str">
        <f>'Secret. Escolar'!$B$8</f>
        <v>Ana Clara Silva Zanolim</v>
      </c>
      <c r="C8" s="49" t="str">
        <f>'Secret. Escolar'!$C$8</f>
        <v/>
      </c>
      <c r="D8" s="156"/>
      <c r="E8" s="157"/>
      <c r="F8" s="156"/>
      <c r="G8" s="156"/>
      <c r="H8" s="156"/>
      <c r="I8" s="156"/>
      <c r="J8" s="156"/>
      <c r="K8" s="157"/>
      <c r="L8" s="159">
        <f>SUM('Frequência 3º Bim'!AI8,'Frequência 4º Bim'!AI8)</f>
        <v>0</v>
      </c>
      <c r="M8" s="160" t="str">
        <f t="shared" si="1"/>
        <v/>
      </c>
    </row>
    <row r="9">
      <c r="A9" s="116">
        <v>4.0</v>
      </c>
      <c r="B9" s="49" t="str">
        <f>'Secret. Escolar'!$B$9</f>
        <v>Antônio Alves Pereira de Souza</v>
      </c>
      <c r="C9" s="49" t="str">
        <f>'Secret. Escolar'!$C$9</f>
        <v/>
      </c>
      <c r="D9" s="156"/>
      <c r="E9" s="156"/>
      <c r="F9" s="156"/>
      <c r="G9" s="156"/>
      <c r="H9" s="156"/>
      <c r="I9" s="156"/>
      <c r="J9" s="156"/>
      <c r="K9" s="157"/>
      <c r="L9" s="159">
        <f>SUM('Frequência 3º Bim'!AI9,'Frequência 4º Bim'!AI9)</f>
        <v>0</v>
      </c>
      <c r="M9" s="160" t="str">
        <f t="shared" si="1"/>
        <v/>
      </c>
    </row>
    <row r="10">
      <c r="A10" s="116">
        <v>5.0</v>
      </c>
      <c r="B10" s="49" t="str">
        <f>'Secret. Escolar'!$B$10</f>
        <v>Cecília Resende dos Santos</v>
      </c>
      <c r="C10" s="49" t="str">
        <f>'Secret. Escolar'!$C$10</f>
        <v/>
      </c>
      <c r="D10" s="156"/>
      <c r="E10" s="156"/>
      <c r="F10" s="156"/>
      <c r="G10" s="156"/>
      <c r="H10" s="156"/>
      <c r="I10" s="156"/>
      <c r="J10" s="156"/>
      <c r="K10" s="157"/>
      <c r="L10" s="159">
        <f>SUM('Frequência 3º Bim'!AI10,'Frequência 4º Bim'!AI10)</f>
        <v>0</v>
      </c>
      <c r="M10" s="160" t="str">
        <f t="shared" si="1"/>
        <v/>
      </c>
    </row>
    <row r="11">
      <c r="A11" s="116">
        <v>6.0</v>
      </c>
      <c r="B11" s="49" t="str">
        <f>'Secret. Escolar'!$B$11</f>
        <v>Emanuelly Vale da Silva</v>
      </c>
      <c r="C11" s="49" t="str">
        <f>'Secret. Escolar'!$C$11</f>
        <v/>
      </c>
      <c r="D11" s="156"/>
      <c r="E11" s="156"/>
      <c r="F11" s="156"/>
      <c r="G11" s="156"/>
      <c r="H11" s="156"/>
      <c r="I11" s="156"/>
      <c r="J11" s="156"/>
      <c r="K11" s="157"/>
      <c r="L11" s="159">
        <f>SUM('Frequência 3º Bim'!AI11,'Frequência 4º Bim'!AI11)</f>
        <v>0</v>
      </c>
      <c r="M11" s="160" t="str">
        <f t="shared" si="1"/>
        <v/>
      </c>
    </row>
    <row r="12">
      <c r="A12" s="116">
        <v>7.0</v>
      </c>
      <c r="B12" s="49" t="str">
        <f>'Secret. Escolar'!$B$12</f>
        <v>Glloria Vitorya Moreira do Vale</v>
      </c>
      <c r="C12" s="49" t="str">
        <f>'Secret. Escolar'!$C$12</f>
        <v/>
      </c>
      <c r="D12" s="156"/>
      <c r="E12" s="156"/>
      <c r="F12" s="156"/>
      <c r="G12" s="156"/>
      <c r="H12" s="156"/>
      <c r="I12" s="156"/>
      <c r="J12" s="156"/>
      <c r="K12" s="157"/>
      <c r="L12" s="159">
        <f>SUM('Frequência 3º Bim'!AI12,'Frequência 4º Bim'!AI12)</f>
        <v>0</v>
      </c>
      <c r="M12" s="160" t="str">
        <f t="shared" si="1"/>
        <v/>
      </c>
    </row>
    <row r="13">
      <c r="A13" s="116">
        <v>8.0</v>
      </c>
      <c r="B13" s="49" t="str">
        <f>'Secret. Escolar'!$B$13</f>
        <v>Izabelly Vitória Pereira Muniz</v>
      </c>
      <c r="C13" s="49" t="str">
        <f>'Secret. Escolar'!$C$13</f>
        <v/>
      </c>
      <c r="D13" s="156"/>
      <c r="E13" s="156"/>
      <c r="F13" s="156"/>
      <c r="G13" s="156"/>
      <c r="H13" s="156"/>
      <c r="I13" s="156"/>
      <c r="J13" s="156"/>
      <c r="K13" s="157"/>
      <c r="L13" s="159">
        <f>SUM('Frequência 3º Bim'!AI13,'Frequência 4º Bim'!AI13)</f>
        <v>0</v>
      </c>
      <c r="M13" s="160" t="str">
        <f t="shared" si="1"/>
        <v/>
      </c>
    </row>
    <row r="14">
      <c r="A14" s="116">
        <v>9.0</v>
      </c>
      <c r="B14" s="49" t="str">
        <f>'Secret. Escolar'!$B$14</f>
        <v>Kaleu Carneiro Mesquita Tavares</v>
      </c>
      <c r="C14" s="49" t="str">
        <f>'Secret. Escolar'!$C$14</f>
        <v/>
      </c>
      <c r="D14" s="156"/>
      <c r="E14" s="156"/>
      <c r="F14" s="156"/>
      <c r="G14" s="156"/>
      <c r="H14" s="156"/>
      <c r="I14" s="156"/>
      <c r="J14" s="156"/>
      <c r="K14" s="157"/>
      <c r="L14" s="159">
        <f>SUM('Frequência 3º Bim'!AI14,'Frequência 4º Bim'!AI14)</f>
        <v>0</v>
      </c>
      <c r="M14" s="160" t="str">
        <f t="shared" si="1"/>
        <v/>
      </c>
    </row>
    <row r="15">
      <c r="A15" s="116">
        <v>10.0</v>
      </c>
      <c r="B15" s="51" t="str">
        <f>'Secret. Escolar'!$B$15</f>
        <v>Lelimar Sofia Reyes Febres</v>
      </c>
      <c r="C15" s="49" t="str">
        <f>'Secret. Escolar'!$C$15</f>
        <v/>
      </c>
      <c r="D15" s="156"/>
      <c r="E15" s="156"/>
      <c r="F15" s="156"/>
      <c r="G15" s="156"/>
      <c r="H15" s="156"/>
      <c r="I15" s="156"/>
      <c r="J15" s="156"/>
      <c r="K15" s="157"/>
      <c r="L15" s="159">
        <f>SUM('Frequência 3º Bim'!AI15,'Frequência 4º Bim'!AI15)</f>
        <v>0</v>
      </c>
      <c r="M15" s="160" t="str">
        <f t="shared" si="1"/>
        <v/>
      </c>
    </row>
    <row r="16">
      <c r="A16" s="116">
        <v>11.0</v>
      </c>
      <c r="B16" s="49" t="str">
        <f>'Secret. Escolar'!$B$16</f>
        <v>Luiz Gustavo Rodrigues Carneiro</v>
      </c>
      <c r="C16" s="49" t="str">
        <f>'Secret. Escolar'!$C$16</f>
        <v/>
      </c>
      <c r="D16" s="156"/>
      <c r="E16" s="156"/>
      <c r="F16" s="156"/>
      <c r="G16" s="156"/>
      <c r="H16" s="156"/>
      <c r="I16" s="156"/>
      <c r="J16" s="156"/>
      <c r="K16" s="157"/>
      <c r="L16" s="159">
        <f>SUM('Frequência 3º Bim'!AI16,'Frequência 4º Bim'!AI16)</f>
        <v>0</v>
      </c>
      <c r="M16" s="160" t="str">
        <f t="shared" si="1"/>
        <v/>
      </c>
    </row>
    <row r="17">
      <c r="A17" s="116">
        <v>12.0</v>
      </c>
      <c r="B17" s="49" t="str">
        <f>'Secret. Escolar'!$B$17</f>
        <v>Luiz Otávio Santos de Sousa</v>
      </c>
      <c r="C17" s="49" t="str">
        <f>'Secret. Escolar'!$C$17</f>
        <v/>
      </c>
      <c r="D17" s="156"/>
      <c r="E17" s="156"/>
      <c r="F17" s="156"/>
      <c r="G17" s="156"/>
      <c r="H17" s="156"/>
      <c r="I17" s="156"/>
      <c r="J17" s="156"/>
      <c r="K17" s="157"/>
      <c r="L17" s="159">
        <f>SUM('Frequência 3º Bim'!AI17,'Frequência 4º Bim'!AI17)</f>
        <v>0</v>
      </c>
      <c r="M17" s="160" t="str">
        <f t="shared" si="1"/>
        <v/>
      </c>
    </row>
    <row r="18">
      <c r="A18" s="116">
        <v>13.0</v>
      </c>
      <c r="B18" s="49" t="str">
        <f>'Secret. Escolar'!$B$18</f>
        <v>Maria Valentina de Souza</v>
      </c>
      <c r="C18" s="49" t="str">
        <f>'Secret. Escolar'!$C$18</f>
        <v/>
      </c>
      <c r="D18" s="156"/>
      <c r="E18" s="156"/>
      <c r="F18" s="156"/>
      <c r="G18" s="156"/>
      <c r="H18" s="156"/>
      <c r="I18" s="156"/>
      <c r="J18" s="156"/>
      <c r="K18" s="157"/>
      <c r="L18" s="159">
        <f>SUM('Frequência 3º Bim'!AI18,'Frequência 4º Bim'!AI18)</f>
        <v>0</v>
      </c>
      <c r="M18" s="160" t="str">
        <f t="shared" si="1"/>
        <v/>
      </c>
    </row>
    <row r="19">
      <c r="A19" s="116">
        <v>14.0</v>
      </c>
      <c r="B19" s="49" t="str">
        <f>'Secret. Escolar'!$B$19</f>
        <v>Maysa Barros Caitano dos Santos</v>
      </c>
      <c r="C19" s="49" t="str">
        <f>'Secret. Escolar'!$C$19</f>
        <v/>
      </c>
      <c r="D19" s="156"/>
      <c r="E19" s="156"/>
      <c r="F19" s="156"/>
      <c r="G19" s="156"/>
      <c r="H19" s="156"/>
      <c r="I19" s="156"/>
      <c r="J19" s="156"/>
      <c r="K19" s="157"/>
      <c r="L19" s="159">
        <f>SUM('Frequência 3º Bim'!AI19,'Frequência 4º Bim'!AI19)</f>
        <v>0</v>
      </c>
      <c r="M19" s="160" t="str">
        <f t="shared" si="1"/>
        <v/>
      </c>
    </row>
    <row r="20">
      <c r="A20" s="116">
        <v>15.0</v>
      </c>
      <c r="B20" s="49" t="str">
        <f>'Secret. Escolar'!$B$20</f>
        <v>Melissa Oliveira Magalhães</v>
      </c>
      <c r="C20" s="49" t="str">
        <f>'Secret. Escolar'!$C$20</f>
        <v/>
      </c>
      <c r="D20" s="156"/>
      <c r="E20" s="156"/>
      <c r="F20" s="156"/>
      <c r="G20" s="156"/>
      <c r="H20" s="156"/>
      <c r="I20" s="156"/>
      <c r="J20" s="156"/>
      <c r="K20" s="157"/>
      <c r="L20" s="159">
        <f>SUM('Frequência 3º Bim'!AI20,'Frequência 4º Bim'!AI20)</f>
        <v>0</v>
      </c>
      <c r="M20" s="160" t="str">
        <f t="shared" si="1"/>
        <v/>
      </c>
    </row>
    <row r="21">
      <c r="A21" s="116">
        <v>16.0</v>
      </c>
      <c r="B21" s="49" t="str">
        <f>'Secret. Escolar'!$B$21</f>
        <v>Neilson de Oliveira Carneiro</v>
      </c>
      <c r="C21" s="49" t="str">
        <f>'Secret. Escolar'!$C$21</f>
        <v/>
      </c>
      <c r="D21" s="156"/>
      <c r="E21" s="156"/>
      <c r="F21" s="156"/>
      <c r="G21" s="156"/>
      <c r="H21" s="156"/>
      <c r="I21" s="156"/>
      <c r="J21" s="156"/>
      <c r="K21" s="157"/>
      <c r="L21" s="159">
        <f>SUM('Frequência 3º Bim'!AI21,'Frequência 4º Bim'!AI21)</f>
        <v>0</v>
      </c>
      <c r="M21" s="160" t="str">
        <f t="shared" si="1"/>
        <v/>
      </c>
    </row>
    <row r="22">
      <c r="A22" s="116">
        <v>17.0</v>
      </c>
      <c r="B22" s="49" t="str">
        <f>'Secret. Escolar'!$B$22</f>
        <v>Sarah Gabrielle Coelho Lopes</v>
      </c>
      <c r="C22" s="49" t="str">
        <f>'Secret. Escolar'!$C$22</f>
        <v/>
      </c>
      <c r="D22" s="156"/>
      <c r="E22" s="156"/>
      <c r="F22" s="156"/>
      <c r="G22" s="156"/>
      <c r="H22" s="156"/>
      <c r="I22" s="156"/>
      <c r="J22" s="156"/>
      <c r="K22" s="157"/>
      <c r="L22" s="159">
        <f>SUM('Frequência 3º Bim'!AI22,'Frequência 4º Bim'!AI22)</f>
        <v>0</v>
      </c>
      <c r="M22" s="160" t="str">
        <f t="shared" si="1"/>
        <v/>
      </c>
    </row>
    <row r="23">
      <c r="A23" s="116">
        <v>18.0</v>
      </c>
      <c r="B23" s="49" t="str">
        <f>'Secret. Escolar'!$B$23</f>
        <v>Sophia Pereira de Oliveira</v>
      </c>
      <c r="C23" s="49" t="str">
        <f>'Secret. Escolar'!$C$23</f>
        <v/>
      </c>
      <c r="D23" s="156"/>
      <c r="E23" s="156"/>
      <c r="F23" s="156"/>
      <c r="G23" s="156"/>
      <c r="H23" s="156"/>
      <c r="I23" s="156"/>
      <c r="J23" s="156"/>
      <c r="K23" s="157"/>
      <c r="L23" s="159">
        <f>SUM('Frequência 3º Bim'!AI23,'Frequência 4º Bim'!AI23)</f>
        <v>0</v>
      </c>
      <c r="M23" s="160" t="str">
        <f t="shared" si="1"/>
        <v/>
      </c>
    </row>
    <row r="24">
      <c r="A24" s="116">
        <v>19.0</v>
      </c>
      <c r="B24" s="49" t="str">
        <f>'Secret. Escolar'!$B$24</f>
        <v>Wuilmer Adrian Ramos Salazar</v>
      </c>
      <c r="C24" s="49" t="str">
        <f>'Secret. Escolar'!$C$24</f>
        <v/>
      </c>
      <c r="D24" s="156"/>
      <c r="E24" s="156"/>
      <c r="F24" s="156"/>
      <c r="G24" s="156"/>
      <c r="H24" s="156"/>
      <c r="I24" s="156"/>
      <c r="J24" s="156"/>
      <c r="K24" s="157"/>
      <c r="L24" s="159">
        <f>SUM('Frequência 3º Bim'!AI24,'Frequência 4º Bim'!AI24)</f>
        <v>0</v>
      </c>
      <c r="M24" s="160" t="str">
        <f t="shared" si="1"/>
        <v/>
      </c>
    </row>
    <row r="25">
      <c r="A25" s="116">
        <v>20.0</v>
      </c>
      <c r="B25" s="49" t="str">
        <f>'Secret. Escolar'!$B$25</f>
        <v/>
      </c>
      <c r="C25" s="49" t="str">
        <f>'Secret. Escolar'!$C$25</f>
        <v/>
      </c>
      <c r="D25" s="156"/>
      <c r="E25" s="156"/>
      <c r="F25" s="156"/>
      <c r="G25" s="156"/>
      <c r="H25" s="156"/>
      <c r="I25" s="156"/>
      <c r="J25" s="156"/>
      <c r="K25" s="157"/>
      <c r="L25" s="159">
        <f>SUM('Frequência 3º Bim'!AI25,'Frequência 4º Bim'!AI25)</f>
        <v>0</v>
      </c>
      <c r="M25" s="160" t="str">
        <f t="shared" si="1"/>
        <v/>
      </c>
    </row>
    <row r="26">
      <c r="A26" s="116">
        <v>21.0</v>
      </c>
      <c r="B26" s="49" t="str">
        <f>'Secret. Escolar'!$B$26</f>
        <v/>
      </c>
      <c r="C26" s="49" t="str">
        <f>'Secret. Escolar'!$C$26</f>
        <v/>
      </c>
      <c r="D26" s="156"/>
      <c r="E26" s="156"/>
      <c r="F26" s="156"/>
      <c r="G26" s="156"/>
      <c r="H26" s="156"/>
      <c r="I26" s="156"/>
      <c r="J26" s="156"/>
      <c r="K26" s="157"/>
      <c r="L26" s="159">
        <f>SUM('Frequência 3º Bim'!AI26,'Frequência 4º Bim'!AI26)</f>
        <v>0</v>
      </c>
      <c r="M26" s="160" t="str">
        <f t="shared" si="1"/>
        <v/>
      </c>
    </row>
    <row r="27">
      <c r="A27" s="116">
        <v>22.0</v>
      </c>
      <c r="B27" s="49" t="str">
        <f>'Secret. Escolar'!$B$27</f>
        <v/>
      </c>
      <c r="C27" s="49" t="str">
        <f>'Secret. Escolar'!$C$27</f>
        <v/>
      </c>
      <c r="D27" s="156"/>
      <c r="E27" s="156"/>
      <c r="F27" s="156"/>
      <c r="G27" s="156"/>
      <c r="H27" s="156"/>
      <c r="I27" s="156"/>
      <c r="J27" s="156"/>
      <c r="K27" s="157"/>
      <c r="L27" s="159">
        <f>SUM('Frequência 3º Bim'!AI27,'Frequência 4º Bim'!AI27)</f>
        <v>0</v>
      </c>
      <c r="M27" s="160" t="str">
        <f t="shared" si="1"/>
        <v/>
      </c>
    </row>
    <row r="28">
      <c r="A28" s="116">
        <v>23.0</v>
      </c>
      <c r="B28" s="49" t="str">
        <f>'Secret. Escolar'!$B$28</f>
        <v/>
      </c>
      <c r="C28" s="49" t="str">
        <f>'Secret. Escolar'!$C$28</f>
        <v/>
      </c>
      <c r="D28" s="156"/>
      <c r="E28" s="156"/>
      <c r="F28" s="156"/>
      <c r="G28" s="156"/>
      <c r="H28" s="156"/>
      <c r="I28" s="156"/>
      <c r="J28" s="156"/>
      <c r="K28" s="157"/>
      <c r="L28" s="159">
        <f>SUM('Frequência 3º Bim'!AI28,'Frequência 4º Bim'!AI28)</f>
        <v>0</v>
      </c>
      <c r="M28" s="160" t="str">
        <f t="shared" si="1"/>
        <v/>
      </c>
    </row>
    <row r="29">
      <c r="A29" s="116">
        <v>24.0</v>
      </c>
      <c r="B29" s="49" t="str">
        <f>'Secret. Escolar'!$B$29</f>
        <v/>
      </c>
      <c r="C29" s="49" t="str">
        <f>'Secret. Escolar'!$C$29</f>
        <v/>
      </c>
      <c r="D29" s="156"/>
      <c r="E29" s="156"/>
      <c r="F29" s="156"/>
      <c r="G29" s="156"/>
      <c r="H29" s="156"/>
      <c r="I29" s="156"/>
      <c r="J29" s="156"/>
      <c r="K29" s="157"/>
      <c r="L29" s="159">
        <f>SUM('Frequência 3º Bim'!AI29,'Frequência 4º Bim'!AI29)</f>
        <v>0</v>
      </c>
      <c r="M29" s="160" t="str">
        <f t="shared" si="1"/>
        <v/>
      </c>
    </row>
    <row r="30">
      <c r="A30" s="116">
        <v>25.0</v>
      </c>
      <c r="B30" s="49" t="str">
        <f>'Secret. Escolar'!$B$30</f>
        <v/>
      </c>
      <c r="C30" s="49" t="str">
        <f>'Secret. Escolar'!$C$30</f>
        <v/>
      </c>
      <c r="D30" s="156"/>
      <c r="E30" s="156"/>
      <c r="F30" s="156"/>
      <c r="G30" s="156"/>
      <c r="H30" s="156"/>
      <c r="I30" s="156"/>
      <c r="J30" s="156"/>
      <c r="K30" s="157"/>
      <c r="L30" s="159">
        <f>SUM('Frequência 3º Bim'!AI30,'Frequência 4º Bim'!AI30)</f>
        <v>0</v>
      </c>
      <c r="M30" s="160" t="str">
        <f t="shared" si="1"/>
        <v/>
      </c>
    </row>
    <row r="31">
      <c r="A31" s="116">
        <v>26.0</v>
      </c>
      <c r="B31" s="49" t="str">
        <f>'Secret. Escolar'!$B$31</f>
        <v/>
      </c>
      <c r="C31" s="49" t="str">
        <f>'Secret. Escolar'!$C$31</f>
        <v/>
      </c>
      <c r="D31" s="156"/>
      <c r="E31" s="156"/>
      <c r="F31" s="156"/>
      <c r="G31" s="156"/>
      <c r="H31" s="156"/>
      <c r="I31" s="156"/>
      <c r="J31" s="156"/>
      <c r="K31" s="157"/>
      <c r="L31" s="159">
        <f>SUM('Frequência 3º Bim'!AI31,'Frequência 4º Bim'!AI31)</f>
        <v>0</v>
      </c>
      <c r="M31" s="160" t="str">
        <f t="shared" si="1"/>
        <v/>
      </c>
    </row>
    <row r="32">
      <c r="A32" s="116">
        <v>27.0</v>
      </c>
      <c r="B32" s="49" t="str">
        <f>'Secret. Escolar'!$B$32</f>
        <v/>
      </c>
      <c r="C32" s="49" t="str">
        <f>'Secret. Escolar'!$C$32</f>
        <v/>
      </c>
      <c r="D32" s="156"/>
      <c r="E32" s="156"/>
      <c r="F32" s="156"/>
      <c r="G32" s="156"/>
      <c r="H32" s="156"/>
      <c r="I32" s="156"/>
      <c r="J32" s="156"/>
      <c r="K32" s="157"/>
      <c r="L32" s="159">
        <f>SUM('Frequência 3º Bim'!AI32,'Frequência 4º Bim'!AI32)</f>
        <v>0</v>
      </c>
      <c r="M32" s="160" t="str">
        <f t="shared" si="1"/>
        <v/>
      </c>
    </row>
    <row r="33">
      <c r="A33" s="116">
        <v>28.0</v>
      </c>
      <c r="B33" s="49" t="str">
        <f>'Secret. Escolar'!$B$33</f>
        <v/>
      </c>
      <c r="C33" s="49" t="str">
        <f>'Secret. Escolar'!$C$33</f>
        <v/>
      </c>
      <c r="D33" s="156"/>
      <c r="E33" s="156"/>
      <c r="F33" s="156"/>
      <c r="G33" s="156"/>
      <c r="H33" s="156"/>
      <c r="I33" s="156"/>
      <c r="J33" s="156"/>
      <c r="K33" s="157"/>
      <c r="L33" s="159">
        <f>SUM('Frequência 3º Bim'!AI33,'Frequência 4º Bim'!AI33)</f>
        <v>0</v>
      </c>
      <c r="M33" s="160" t="str">
        <f t="shared" si="1"/>
        <v/>
      </c>
    </row>
    <row r="34">
      <c r="A34" s="116">
        <v>29.0</v>
      </c>
      <c r="B34" s="49" t="str">
        <f>'Secret. Escolar'!$B$34</f>
        <v/>
      </c>
      <c r="C34" s="49" t="str">
        <f>'Secret. Escolar'!$C$34</f>
        <v/>
      </c>
      <c r="D34" s="126"/>
      <c r="E34" s="126"/>
      <c r="F34" s="126"/>
      <c r="G34" s="126"/>
      <c r="H34" s="126"/>
      <c r="I34" s="126"/>
      <c r="J34" s="126"/>
      <c r="K34" s="162"/>
      <c r="L34" s="159">
        <f>SUM('Frequência 3º Bim'!AI34,'Frequência 4º Bim'!AI34)</f>
        <v>0</v>
      </c>
      <c r="M34" s="160" t="str">
        <f t="shared" si="1"/>
        <v/>
      </c>
    </row>
    <row r="35">
      <c r="A35" s="116">
        <v>30.0</v>
      </c>
      <c r="B35" s="49" t="str">
        <f>'Secret. Escolar'!$B$35</f>
        <v/>
      </c>
      <c r="C35" s="49" t="str">
        <f>'Secret. Escolar'!$C$35</f>
        <v/>
      </c>
      <c r="D35" s="126"/>
      <c r="E35" s="126"/>
      <c r="F35" s="126"/>
      <c r="G35" s="126"/>
      <c r="H35" s="126"/>
      <c r="I35" s="126"/>
      <c r="J35" s="126"/>
      <c r="K35" s="162"/>
      <c r="L35" s="159">
        <f>SUM('Frequência 3º Bim'!AI35,'Frequência 4º Bim'!AI35)</f>
        <v>0</v>
      </c>
      <c r="M35" s="160" t="str">
        <f t="shared" si="1"/>
        <v/>
      </c>
    </row>
    <row r="36">
      <c r="A36" s="116">
        <v>31.0</v>
      </c>
      <c r="B36" s="49" t="str">
        <f>'Secret. Escolar'!$B$36</f>
        <v/>
      </c>
      <c r="C36" s="49" t="str">
        <f>'Secret. Escolar'!$C$36</f>
        <v/>
      </c>
      <c r="D36" s="126"/>
      <c r="E36" s="126"/>
      <c r="F36" s="126"/>
      <c r="G36" s="126"/>
      <c r="H36" s="126"/>
      <c r="I36" s="126"/>
      <c r="J36" s="126"/>
      <c r="K36" s="162"/>
      <c r="L36" s="159">
        <f>SUM('Frequência 3º Bim'!AI36,'Frequência 4º Bim'!AI36)</f>
        <v>0</v>
      </c>
      <c r="M36" s="160" t="str">
        <f t="shared" si="1"/>
        <v/>
      </c>
    </row>
    <row r="37">
      <c r="A37" s="116">
        <v>32.0</v>
      </c>
      <c r="B37" s="49" t="str">
        <f>'Secret. Escolar'!$B$37</f>
        <v/>
      </c>
      <c r="C37" s="49" t="str">
        <f>'Secret. Escolar'!$C$37</f>
        <v/>
      </c>
      <c r="D37" s="126"/>
      <c r="E37" s="126"/>
      <c r="F37" s="126"/>
      <c r="G37" s="126"/>
      <c r="H37" s="126"/>
      <c r="I37" s="126"/>
      <c r="J37" s="126"/>
      <c r="K37" s="162"/>
      <c r="L37" s="159">
        <f>SUM('Frequência 3º Bim'!AI37,'Frequência 4º Bim'!AI37)</f>
        <v>0</v>
      </c>
      <c r="M37" s="160" t="str">
        <f t="shared" si="1"/>
        <v/>
      </c>
    </row>
    <row r="38">
      <c r="A38" s="116">
        <v>33.0</v>
      </c>
      <c r="B38" s="49" t="str">
        <f>'Secret. Escolar'!$B$38</f>
        <v/>
      </c>
      <c r="C38" s="49" t="str">
        <f>'Secret. Escolar'!$C$38</f>
        <v/>
      </c>
      <c r="D38" s="126"/>
      <c r="E38" s="126"/>
      <c r="F38" s="126"/>
      <c r="G38" s="126"/>
      <c r="H38" s="126"/>
      <c r="I38" s="126"/>
      <c r="J38" s="126"/>
      <c r="K38" s="162"/>
      <c r="L38" s="159">
        <f>SUM('Frequência 3º Bim'!AI38,'Frequência 4º Bim'!AI38)</f>
        <v>0</v>
      </c>
      <c r="M38" s="160" t="str">
        <f t="shared" si="1"/>
        <v/>
      </c>
    </row>
    <row r="39">
      <c r="A39" s="116">
        <v>34.0</v>
      </c>
      <c r="B39" s="49" t="str">
        <f>'Secret. Escolar'!$B$39</f>
        <v/>
      </c>
      <c r="C39" s="49" t="str">
        <f>'Secret. Escolar'!$C$39</f>
        <v/>
      </c>
      <c r="D39" s="126"/>
      <c r="E39" s="126"/>
      <c r="F39" s="126"/>
      <c r="G39" s="126"/>
      <c r="H39" s="126"/>
      <c r="I39" s="126"/>
      <c r="J39" s="126"/>
      <c r="K39" s="162"/>
      <c r="L39" s="159">
        <f>SUM('Frequência 3º Bim'!AI39,'Frequência 4º Bim'!AI39)</f>
        <v>0</v>
      </c>
      <c r="M39" s="160" t="str">
        <f t="shared" si="1"/>
        <v/>
      </c>
    </row>
    <row r="40">
      <c r="A40" s="116">
        <v>35.0</v>
      </c>
      <c r="B40" s="49" t="str">
        <f>'Secret. Escolar'!$B$40</f>
        <v/>
      </c>
      <c r="C40" s="49" t="str">
        <f>'Secret. Escolar'!$C$40</f>
        <v/>
      </c>
      <c r="D40" s="126"/>
      <c r="E40" s="126"/>
      <c r="F40" s="126"/>
      <c r="G40" s="126"/>
      <c r="H40" s="126"/>
      <c r="I40" s="126"/>
      <c r="J40" s="126"/>
      <c r="K40" s="162"/>
      <c r="L40" s="159">
        <f>SUM('Frequência 3º Bim'!AI40,'Frequência 4º Bim'!AI40)</f>
        <v>0</v>
      </c>
      <c r="M40" s="160" t="str">
        <f t="shared" si="1"/>
        <v/>
      </c>
    </row>
    <row r="41">
      <c r="A41" s="116">
        <v>36.0</v>
      </c>
      <c r="B41" s="49" t="str">
        <f>'Secret. Escolar'!$B$41</f>
        <v/>
      </c>
      <c r="C41" s="49" t="str">
        <f>'Secret. Escolar'!$C$41</f>
        <v/>
      </c>
      <c r="D41" s="126"/>
      <c r="E41" s="126"/>
      <c r="F41" s="126"/>
      <c r="G41" s="126"/>
      <c r="H41" s="126"/>
      <c r="I41" s="126"/>
      <c r="J41" s="126"/>
      <c r="K41" s="162"/>
      <c r="L41" s="159">
        <f>SUM('Frequência 3º Bim'!AI41,'Frequência 4º Bim'!AI41)</f>
        <v>0</v>
      </c>
      <c r="M41" s="160" t="str">
        <f t="shared" si="1"/>
        <v/>
      </c>
    </row>
    <row r="42">
      <c r="A42" s="116">
        <v>37.0</v>
      </c>
      <c r="B42" s="49" t="str">
        <f>'Secret. Escolar'!$B$42</f>
        <v/>
      </c>
      <c r="C42" s="49" t="str">
        <f>'Secret. Escolar'!$C$42</f>
        <v/>
      </c>
      <c r="D42" s="126"/>
      <c r="E42" s="126"/>
      <c r="F42" s="126"/>
      <c r="G42" s="126"/>
      <c r="H42" s="126"/>
      <c r="I42" s="126"/>
      <c r="J42" s="126"/>
      <c r="K42" s="162"/>
      <c r="L42" s="159">
        <f>SUM('Frequência 3º Bim'!AI42,'Frequência 4º Bim'!AI42)</f>
        <v>0</v>
      </c>
      <c r="M42" s="160" t="str">
        <f t="shared" si="1"/>
        <v/>
      </c>
    </row>
    <row r="43">
      <c r="A43" s="116">
        <v>38.0</v>
      </c>
      <c r="B43" s="49" t="str">
        <f>'Secret. Escolar'!$B$43</f>
        <v/>
      </c>
      <c r="C43" s="49" t="str">
        <f>'Secret. Escolar'!$C$43</f>
        <v/>
      </c>
      <c r="D43" s="126"/>
      <c r="E43" s="126"/>
      <c r="F43" s="126"/>
      <c r="G43" s="126"/>
      <c r="H43" s="126"/>
      <c r="I43" s="126"/>
      <c r="J43" s="126"/>
      <c r="K43" s="162"/>
      <c r="L43" s="159">
        <f>SUM('Frequência 3º Bim'!AI43,'Frequência 4º Bim'!AI43)</f>
        <v>0</v>
      </c>
      <c r="M43" s="160" t="str">
        <f t="shared" si="1"/>
        <v/>
      </c>
    </row>
    <row r="44">
      <c r="A44" s="116">
        <v>39.0</v>
      </c>
      <c r="B44" s="49" t="str">
        <f>'Secret. Escolar'!$B$44</f>
        <v/>
      </c>
      <c r="C44" s="49" t="str">
        <f>'Secret. Escolar'!$C$44</f>
        <v/>
      </c>
      <c r="D44" s="126"/>
      <c r="E44" s="126"/>
      <c r="F44" s="126"/>
      <c r="G44" s="126"/>
      <c r="H44" s="126"/>
      <c r="I44" s="126"/>
      <c r="J44" s="126"/>
      <c r="K44" s="162"/>
      <c r="L44" s="159">
        <f>SUM('Frequência 3º Bim'!AI44,'Frequência 4º Bim'!AI44)</f>
        <v>0</v>
      </c>
      <c r="M44" s="160" t="str">
        <f t="shared" si="1"/>
        <v/>
      </c>
    </row>
    <row r="45">
      <c r="A45" s="116">
        <v>40.0</v>
      </c>
      <c r="B45" s="49" t="str">
        <f>'Secret. Escolar'!$B$45</f>
        <v/>
      </c>
      <c r="C45" s="49" t="str">
        <f>'Secret. Escolar'!$C$45</f>
        <v/>
      </c>
      <c r="D45" s="126"/>
      <c r="E45" s="126"/>
      <c r="F45" s="126"/>
      <c r="G45" s="126"/>
      <c r="H45" s="126"/>
      <c r="I45" s="126"/>
      <c r="J45" s="126"/>
      <c r="K45" s="162"/>
      <c r="L45" s="159">
        <f>SUM('Frequência 3º Bim'!AI45,'Frequência 4º Bim'!AI45)</f>
        <v>0</v>
      </c>
      <c r="M45" s="160" t="str">
        <f t="shared" si="1"/>
        <v/>
      </c>
    </row>
    <row r="46">
      <c r="A46" s="116">
        <v>41.0</v>
      </c>
      <c r="B46" s="49" t="str">
        <f>'Secret. Escolar'!$B$46</f>
        <v/>
      </c>
      <c r="C46" s="49" t="str">
        <f>'Secret. Escolar'!$C$46</f>
        <v/>
      </c>
      <c r="D46" s="126"/>
      <c r="E46" s="126"/>
      <c r="F46" s="126"/>
      <c r="G46" s="126"/>
      <c r="H46" s="126"/>
      <c r="I46" s="126"/>
      <c r="J46" s="126"/>
      <c r="K46" s="162"/>
      <c r="L46" s="159">
        <f>SUM('Frequência 3º Bim'!AI46,'Frequência 4º Bim'!AI46)</f>
        <v>0</v>
      </c>
      <c r="M46" s="160" t="str">
        <f t="shared" si="1"/>
        <v/>
      </c>
    </row>
    <row r="47">
      <c r="A47" s="116">
        <v>42.0</v>
      </c>
      <c r="B47" s="49" t="str">
        <f>'Secret. Escolar'!$B$47</f>
        <v/>
      </c>
      <c r="C47" s="49" t="str">
        <f>'Secret. Escolar'!$C$47</f>
        <v/>
      </c>
      <c r="D47" s="126"/>
      <c r="E47" s="126"/>
      <c r="F47" s="126"/>
      <c r="G47" s="126"/>
      <c r="H47" s="126"/>
      <c r="I47" s="126"/>
      <c r="J47" s="126"/>
      <c r="K47" s="162"/>
      <c r="L47" s="159">
        <f>SUM('Frequência 3º Bim'!AI47,'Frequência 4º Bim'!AI47)</f>
        <v>0</v>
      </c>
      <c r="M47" s="160" t="str">
        <f t="shared" si="1"/>
        <v/>
      </c>
    </row>
    <row r="48">
      <c r="A48" s="116">
        <v>43.0</v>
      </c>
      <c r="B48" s="49" t="str">
        <f>'Secret. Escolar'!$B$48</f>
        <v/>
      </c>
      <c r="C48" s="49" t="str">
        <f>'Secret. Escolar'!$C$48</f>
        <v/>
      </c>
      <c r="D48" s="126"/>
      <c r="E48" s="126"/>
      <c r="F48" s="126"/>
      <c r="G48" s="126"/>
      <c r="H48" s="126"/>
      <c r="I48" s="126"/>
      <c r="J48" s="126"/>
      <c r="K48" s="162"/>
      <c r="L48" s="159">
        <f>SUM('Frequência 3º Bim'!AI48,'Frequência 4º Bim'!AI48)</f>
        <v>0</v>
      </c>
      <c r="M48" s="160" t="str">
        <f t="shared" si="1"/>
        <v/>
      </c>
    </row>
    <row r="49">
      <c r="A49" s="116">
        <v>44.0</v>
      </c>
      <c r="B49" s="49" t="str">
        <f>'Secret. Escolar'!$B$49</f>
        <v/>
      </c>
      <c r="C49" s="49" t="str">
        <f>'Secret. Escolar'!$C$49</f>
        <v/>
      </c>
      <c r="D49" s="126"/>
      <c r="E49" s="126"/>
      <c r="F49" s="126"/>
      <c r="G49" s="126"/>
      <c r="H49" s="126"/>
      <c r="I49" s="126"/>
      <c r="J49" s="126"/>
      <c r="K49" s="162"/>
      <c r="L49" s="159">
        <f>SUM('Frequência 3º Bim'!AI49,'Frequência 4º Bim'!AI49)</f>
        <v>0</v>
      </c>
      <c r="M49" s="160" t="str">
        <f t="shared" si="1"/>
        <v/>
      </c>
    </row>
    <row r="50">
      <c r="A50" s="116">
        <v>45.0</v>
      </c>
      <c r="B50" s="49" t="str">
        <f>'Secret. Escolar'!$B$50</f>
        <v/>
      </c>
      <c r="C50" s="49" t="str">
        <f>'Secret. Escolar'!$C$50</f>
        <v/>
      </c>
      <c r="D50" s="126"/>
      <c r="E50" s="126"/>
      <c r="F50" s="126"/>
      <c r="G50" s="126"/>
      <c r="H50" s="126"/>
      <c r="I50" s="126"/>
      <c r="J50" s="126"/>
      <c r="K50" s="162"/>
      <c r="L50" s="159">
        <f>SUM('Frequência 3º Bim'!AI50,'Frequência 4º Bim'!AI50)</f>
        <v>0</v>
      </c>
      <c r="M50" s="160" t="str">
        <f t="shared" si="1"/>
        <v/>
      </c>
    </row>
    <row r="51">
      <c r="A51" s="116">
        <v>46.0</v>
      </c>
      <c r="B51" s="49" t="str">
        <f>'Secret. Escolar'!$B$51</f>
        <v/>
      </c>
      <c r="C51" s="49" t="str">
        <f>'Secret. Escolar'!$C$51</f>
        <v/>
      </c>
      <c r="D51" s="126"/>
      <c r="E51" s="126"/>
      <c r="F51" s="126"/>
      <c r="G51" s="126"/>
      <c r="H51" s="126"/>
      <c r="I51" s="126"/>
      <c r="J51" s="126"/>
      <c r="K51" s="162"/>
      <c r="L51" s="159">
        <f>SUM('Frequência 3º Bim'!AI51,'Frequência 4º Bim'!AI51)</f>
        <v>0</v>
      </c>
      <c r="M51" s="160" t="str">
        <f t="shared" si="1"/>
        <v/>
      </c>
    </row>
    <row r="52">
      <c r="A52" s="116">
        <v>47.0</v>
      </c>
      <c r="B52" s="49" t="str">
        <f>'Secret. Escolar'!$B$52</f>
        <v/>
      </c>
      <c r="C52" s="49" t="str">
        <f>'Secret. Escolar'!$C$52</f>
        <v/>
      </c>
      <c r="D52" s="126"/>
      <c r="E52" s="126"/>
      <c r="F52" s="126"/>
      <c r="G52" s="126"/>
      <c r="H52" s="126"/>
      <c r="I52" s="126"/>
      <c r="J52" s="126"/>
      <c r="K52" s="162"/>
      <c r="L52" s="159">
        <f>SUM('Frequência 3º Bim'!AI52,'Frequência 4º Bim'!AI52)</f>
        <v>0</v>
      </c>
      <c r="M52" s="160" t="str">
        <f t="shared" si="1"/>
        <v/>
      </c>
    </row>
    <row r="53">
      <c r="A53" s="116">
        <v>48.0</v>
      </c>
      <c r="B53" s="49" t="str">
        <f>'Secret. Escolar'!$B$53</f>
        <v/>
      </c>
      <c r="C53" s="49" t="str">
        <f>'Secret. Escolar'!$C$53</f>
        <v/>
      </c>
      <c r="D53" s="126"/>
      <c r="E53" s="126"/>
      <c r="F53" s="126"/>
      <c r="G53" s="126"/>
      <c r="H53" s="126"/>
      <c r="I53" s="126"/>
      <c r="J53" s="126"/>
      <c r="K53" s="162"/>
      <c r="L53" s="159">
        <f>SUM('Frequência 3º Bim'!AI53,'Frequência 4º Bim'!AI53)</f>
        <v>0</v>
      </c>
      <c r="M53" s="160" t="str">
        <f t="shared" si="1"/>
        <v/>
      </c>
    </row>
    <row r="54">
      <c r="A54" s="116">
        <v>49.0</v>
      </c>
      <c r="B54" s="49" t="str">
        <f>'Secret. Escolar'!$B$54</f>
        <v/>
      </c>
      <c r="C54" s="49" t="str">
        <f>'Secret. Escolar'!$C$54</f>
        <v/>
      </c>
      <c r="D54" s="126"/>
      <c r="E54" s="126"/>
      <c r="F54" s="126"/>
      <c r="G54" s="126"/>
      <c r="H54" s="126"/>
      <c r="I54" s="126"/>
      <c r="J54" s="126"/>
      <c r="K54" s="162"/>
      <c r="L54" s="159">
        <f>SUM('Frequência 3º Bim'!AI54,'Frequência 4º Bim'!AI54)</f>
        <v>0</v>
      </c>
      <c r="M54" s="160" t="str">
        <f t="shared" si="1"/>
        <v/>
      </c>
    </row>
    <row r="55">
      <c r="A55" s="116">
        <v>50.0</v>
      </c>
      <c r="B55" s="49" t="str">
        <f>'Secret. Escolar'!$B$55</f>
        <v/>
      </c>
      <c r="C55" s="49" t="str">
        <f>'Secret. Escolar'!$C$55</f>
        <v/>
      </c>
      <c r="D55" s="126"/>
      <c r="E55" s="126"/>
      <c r="F55" s="126"/>
      <c r="G55" s="126"/>
      <c r="H55" s="126"/>
      <c r="I55" s="126"/>
      <c r="J55" s="126"/>
      <c r="K55" s="162"/>
      <c r="L55" s="159">
        <f>SUM('Frequência 3º Bim'!AI55,'Frequência 4º Bim'!AI55)</f>
        <v>0</v>
      </c>
      <c r="M55" s="160" t="str">
        <f t="shared" si="1"/>
        <v/>
      </c>
    </row>
    <row r="56" ht="18.75" customHeight="1">
      <c r="A56" s="163" t="s">
        <v>109</v>
      </c>
      <c r="B56" s="164" t="s">
        <v>110</v>
      </c>
      <c r="C56" s="165" t="s">
        <v>111</v>
      </c>
      <c r="D56" s="165" t="s">
        <v>112</v>
      </c>
      <c r="E56" s="165" t="s">
        <v>113</v>
      </c>
      <c r="F56" s="165" t="s">
        <v>114</v>
      </c>
      <c r="G56" s="166" t="s">
        <v>115</v>
      </c>
      <c r="H56" s="15"/>
      <c r="I56" s="15"/>
      <c r="J56" s="15"/>
      <c r="K56" s="15"/>
      <c r="L56" s="15"/>
      <c r="M56" s="16"/>
    </row>
    <row r="57">
      <c r="A57" s="45"/>
      <c r="B57" s="45"/>
      <c r="C57" s="45"/>
      <c r="D57" s="45"/>
      <c r="E57" s="45"/>
      <c r="F57" s="45"/>
      <c r="G57" s="167" t="s">
        <v>116</v>
      </c>
      <c r="H57" s="15"/>
      <c r="I57" s="15"/>
      <c r="J57" s="15"/>
      <c r="K57" s="15"/>
      <c r="L57" s="15"/>
      <c r="M57" s="16"/>
    </row>
    <row r="58" ht="29.25" customHeight="1">
      <c r="A58" s="45"/>
      <c r="B58" s="45"/>
      <c r="C58" s="45"/>
      <c r="D58" s="45"/>
      <c r="E58" s="45"/>
      <c r="F58" s="45"/>
      <c r="G58" s="168"/>
      <c r="H58" s="15"/>
      <c r="I58" s="15"/>
      <c r="J58" s="15"/>
      <c r="K58" s="15"/>
      <c r="L58" s="15"/>
      <c r="M58" s="16"/>
    </row>
    <row r="59">
      <c r="A59" s="45"/>
      <c r="B59" s="45"/>
      <c r="C59" s="45"/>
      <c r="D59" s="45"/>
      <c r="E59" s="45"/>
      <c r="F59" s="45"/>
      <c r="G59" s="169" t="str">
        <f>"Professor(a): "&amp;Capa!G35</f>
        <v>Professor(a): ITAMAR VIEIRA NUNES</v>
      </c>
      <c r="H59" s="15"/>
      <c r="I59" s="15"/>
      <c r="J59" s="15"/>
      <c r="K59" s="15"/>
      <c r="L59" s="15"/>
      <c r="M59" s="16"/>
    </row>
    <row r="60" ht="33.0" customHeight="1">
      <c r="A60" s="45"/>
      <c r="B60" s="45"/>
      <c r="C60" s="45"/>
      <c r="D60" s="45"/>
      <c r="E60" s="45"/>
      <c r="F60" s="45"/>
      <c r="G60" s="170"/>
      <c r="H60" s="15"/>
      <c r="I60" s="15"/>
      <c r="J60" s="15"/>
      <c r="K60" s="15"/>
      <c r="L60" s="15"/>
      <c r="M60" s="16"/>
    </row>
    <row r="61">
      <c r="A61" s="45"/>
      <c r="B61" s="45"/>
      <c r="C61" s="45"/>
      <c r="D61" s="45"/>
      <c r="E61" s="45"/>
      <c r="F61" s="45"/>
      <c r="G61" s="171" t="s">
        <v>117</v>
      </c>
      <c r="H61" s="15"/>
      <c r="I61" s="15"/>
      <c r="J61" s="15"/>
      <c r="K61" s="15"/>
      <c r="L61" s="15"/>
      <c r="M61" s="16"/>
    </row>
    <row r="62">
      <c r="A62" s="48"/>
      <c r="B62" s="48"/>
      <c r="C62" s="48"/>
      <c r="D62" s="48"/>
      <c r="E62" s="48"/>
      <c r="F62" s="48"/>
      <c r="G62" s="167" t="s">
        <v>118</v>
      </c>
      <c r="H62" s="15"/>
      <c r="I62" s="15"/>
      <c r="J62" s="15"/>
      <c r="K62" s="15"/>
      <c r="L62" s="15"/>
      <c r="M62" s="16"/>
    </row>
    <row r="63">
      <c r="D63" s="175"/>
    </row>
    <row r="64">
      <c r="D64" s="174"/>
      <c r="H64" s="174"/>
    </row>
    <row r="65">
      <c r="D65" s="174"/>
      <c r="H65" s="174"/>
    </row>
  </sheetData>
  <mergeCells count="27">
    <mergeCell ref="A1:C2"/>
    <mergeCell ref="D1:M1"/>
    <mergeCell ref="D2:M2"/>
    <mergeCell ref="A3:A5"/>
    <mergeCell ref="B3:B5"/>
    <mergeCell ref="L3:L5"/>
    <mergeCell ref="M3:M5"/>
    <mergeCell ref="F56:F62"/>
    <mergeCell ref="G56:M56"/>
    <mergeCell ref="G57:M57"/>
    <mergeCell ref="G58:M58"/>
    <mergeCell ref="G59:M59"/>
    <mergeCell ref="G60:M60"/>
    <mergeCell ref="G61:M61"/>
    <mergeCell ref="G62:M62"/>
    <mergeCell ref="D63:K63"/>
    <mergeCell ref="D64:G64"/>
    <mergeCell ref="H64:K64"/>
    <mergeCell ref="D65:G65"/>
    <mergeCell ref="H65:K65"/>
    <mergeCell ref="D3:K3"/>
    <mergeCell ref="D4:K4"/>
    <mergeCell ref="A56:A62"/>
    <mergeCell ref="B56:B62"/>
    <mergeCell ref="C56:C62"/>
    <mergeCell ref="D56:D62"/>
    <mergeCell ref="E56:E62"/>
  </mergeCell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colBreaks count="2" manualBreakCount="2">
    <brk man="1"/>
    <brk id="13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6.38"/>
    <col customWidth="1" min="3" max="3" width="15.13"/>
    <col customWidth="1" min="4" max="8" width="7.63"/>
    <col customWidth="1" min="9" max="9" width="8.75"/>
    <col customWidth="1" min="10" max="10" width="6.0"/>
    <col customWidth="1" min="11" max="11" width="13.13"/>
  </cols>
  <sheetData>
    <row r="1">
      <c r="A1" s="176"/>
      <c r="B1" s="176"/>
      <c r="C1" s="177" t="s">
        <v>0</v>
      </c>
      <c r="G1" s="176"/>
      <c r="J1" s="177"/>
      <c r="K1" s="177"/>
    </row>
    <row r="2">
      <c r="A2" s="176"/>
      <c r="B2" s="176"/>
      <c r="C2" s="177" t="s">
        <v>1</v>
      </c>
      <c r="H2" s="177"/>
      <c r="I2" s="177"/>
      <c r="J2" s="177"/>
      <c r="K2" s="177"/>
    </row>
    <row r="3">
      <c r="A3" s="176"/>
      <c r="B3" s="176"/>
      <c r="C3" s="177" t="s">
        <v>2</v>
      </c>
      <c r="H3" s="177"/>
      <c r="I3" s="177"/>
      <c r="J3" s="177"/>
      <c r="K3" s="177"/>
    </row>
    <row r="4">
      <c r="A4" s="176"/>
      <c r="B4" s="178" t="s">
        <v>119</v>
      </c>
      <c r="J4" s="177"/>
      <c r="K4" s="177"/>
    </row>
    <row r="5">
      <c r="A5" s="176"/>
      <c r="B5" s="176"/>
      <c r="C5" s="177" t="s">
        <v>120</v>
      </c>
      <c r="H5" s="177"/>
      <c r="I5" s="177"/>
      <c r="J5" s="176"/>
      <c r="K5" s="176"/>
    </row>
    <row r="6">
      <c r="A6" s="179" t="str">
        <f>"Componente Curricular: "&amp;Capa!J38&amp;""</f>
        <v>Componente Curricular: Educaçao Física</v>
      </c>
      <c r="C6" s="180" t="str">
        <f>"Ano: "&amp;Capa!F30&amp;"                Turma: "&amp;Capa!N30&amp;"         Turno: "&amp;Capa!F32&amp;"       Ano Letivo: "&amp;Capa!O32&amp;"                  Professor(a): "&amp;Capa!G35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</f>
        <v>Ano: 2°                Turma: D         Turno: Vespertino       Ano Letivo: 2026                  Professor(a): ITAMAR VIEIRA NUNES</v>
      </c>
      <c r="K6" s="180"/>
    </row>
    <row r="7">
      <c r="K7" s="180"/>
    </row>
    <row r="8">
      <c r="A8" s="149" t="s">
        <v>79</v>
      </c>
      <c r="B8" s="181" t="s">
        <v>61</v>
      </c>
      <c r="C8" s="182" t="s">
        <v>57</v>
      </c>
      <c r="D8" s="183" t="s">
        <v>121</v>
      </c>
      <c r="E8" s="15"/>
      <c r="F8" s="15"/>
      <c r="G8" s="15"/>
      <c r="H8" s="15"/>
      <c r="I8" s="15"/>
      <c r="J8" s="16"/>
      <c r="K8" s="184" t="s">
        <v>121</v>
      </c>
    </row>
    <row r="9">
      <c r="A9" s="45"/>
      <c r="B9" s="141"/>
      <c r="C9" s="141"/>
      <c r="D9" s="73" t="s">
        <v>122</v>
      </c>
      <c r="E9" s="15"/>
      <c r="F9" s="15"/>
      <c r="G9" s="16"/>
      <c r="H9" s="185" t="s">
        <v>123</v>
      </c>
      <c r="I9" s="186" t="s">
        <v>124</v>
      </c>
      <c r="J9" s="186">
        <f>SUM('Reg. Aulas 1º Bim'!C37,'Reg. Aulas 2º Bim'!C37,'Reg. Aulas 3º Bim'!C37,'Reg. Aulas 4º Bim'!C37)</f>
        <v>20</v>
      </c>
      <c r="K9" s="45"/>
    </row>
    <row r="10" ht="49.5" customHeight="1">
      <c r="A10" s="48"/>
      <c r="B10" s="21"/>
      <c r="C10" s="21"/>
      <c r="D10" s="186" t="s">
        <v>125</v>
      </c>
      <c r="E10" s="186" t="s">
        <v>126</v>
      </c>
      <c r="F10" s="186" t="s">
        <v>127</v>
      </c>
      <c r="G10" s="186" t="s">
        <v>128</v>
      </c>
      <c r="H10" s="48"/>
      <c r="I10" s="187" t="s">
        <v>129</v>
      </c>
      <c r="J10" s="21"/>
      <c r="K10" s="48"/>
    </row>
    <row r="11">
      <c r="A11" s="188">
        <v>1.0</v>
      </c>
      <c r="B11" s="49" t="str">
        <f>'Secret. Escolar'!$B$6</f>
        <v>Adriana Sofia Gonzalez Torres</v>
      </c>
      <c r="C11" s="50" t="str">
        <f>'Secret. Escolar'!$C$6</f>
        <v/>
      </c>
      <c r="D11" s="189">
        <f>'Frequência 1º Bim'!AI6</f>
        <v>0</v>
      </c>
      <c r="E11" s="189">
        <f>'Frequência 2º Bim'!AI6</f>
        <v>0</v>
      </c>
      <c r="F11" s="189">
        <f>'Frequência 3º Bim'!AI6</f>
        <v>0</v>
      </c>
      <c r="G11" s="189">
        <f>'Frequência 4º Bim'!AI6</f>
        <v>0</v>
      </c>
      <c r="H11" s="189">
        <f t="shared" ref="H11:H60" si="1">D11+E11+F11+G11</f>
        <v>0</v>
      </c>
      <c r="I11" s="190">
        <f t="shared" ref="I11:I60" si="2">IFERROR(($J$9-H11)*1/$J$9,"")</f>
        <v>1</v>
      </c>
      <c r="J11" s="16"/>
      <c r="K11" s="191"/>
    </row>
    <row r="12">
      <c r="A12" s="188">
        <v>2.0</v>
      </c>
      <c r="B12" s="49" t="str">
        <f>'Secret. Escolar'!$B$7</f>
        <v>Alyson Lucas de Sousa Alencar</v>
      </c>
      <c r="C12" s="49" t="str">
        <f>'Secret. Escolar'!$C$7</f>
        <v/>
      </c>
      <c r="D12" s="189">
        <f>'Frequência 1º Bim'!AI7</f>
        <v>0</v>
      </c>
      <c r="E12" s="189">
        <f>'Frequência 2º Bim'!AI7</f>
        <v>0</v>
      </c>
      <c r="F12" s="189">
        <f>'Frequência 3º Bim'!AI7</f>
        <v>0</v>
      </c>
      <c r="G12" s="189">
        <f>'Frequência 4º Bim'!AI7</f>
        <v>0</v>
      </c>
      <c r="H12" s="189">
        <f t="shared" si="1"/>
        <v>0</v>
      </c>
      <c r="I12" s="190">
        <f t="shared" si="2"/>
        <v>1</v>
      </c>
      <c r="J12" s="16"/>
      <c r="K12" s="191"/>
    </row>
    <row r="13">
      <c r="A13" s="188">
        <v>3.0</v>
      </c>
      <c r="B13" s="49" t="str">
        <f>'Secret. Escolar'!$B$8</f>
        <v>Ana Clara Silva Zanolim</v>
      </c>
      <c r="C13" s="49" t="str">
        <f>'Secret. Escolar'!$C$8</f>
        <v/>
      </c>
      <c r="D13" s="189">
        <f>'Frequência 1º Bim'!AI8</f>
        <v>0</v>
      </c>
      <c r="E13" s="189">
        <f>'Frequência 2º Bim'!AI8</f>
        <v>0</v>
      </c>
      <c r="F13" s="189">
        <f>'Frequência 3º Bim'!AI8</f>
        <v>0</v>
      </c>
      <c r="G13" s="189">
        <f>'Frequência 4º Bim'!AI8</f>
        <v>0</v>
      </c>
      <c r="H13" s="189">
        <f t="shared" si="1"/>
        <v>0</v>
      </c>
      <c r="I13" s="190">
        <f t="shared" si="2"/>
        <v>1</v>
      </c>
      <c r="J13" s="16"/>
      <c r="K13" s="191"/>
    </row>
    <row r="14">
      <c r="A14" s="188">
        <v>4.0</v>
      </c>
      <c r="B14" s="49" t="str">
        <f>'Secret. Escolar'!$B$9</f>
        <v>Antônio Alves Pereira de Souza</v>
      </c>
      <c r="C14" s="49" t="str">
        <f>'Secret. Escolar'!$C$9</f>
        <v/>
      </c>
      <c r="D14" s="189">
        <f>'Frequência 1º Bim'!AI9</f>
        <v>1</v>
      </c>
      <c r="E14" s="189">
        <f>'Frequência 2º Bim'!AI9</f>
        <v>0</v>
      </c>
      <c r="F14" s="189">
        <f>'Frequência 3º Bim'!AI9</f>
        <v>0</v>
      </c>
      <c r="G14" s="189">
        <f>'Frequência 4º Bim'!AI9</f>
        <v>0</v>
      </c>
      <c r="H14" s="189">
        <f t="shared" si="1"/>
        <v>1</v>
      </c>
      <c r="I14" s="190">
        <f t="shared" si="2"/>
        <v>0.95</v>
      </c>
      <c r="J14" s="16"/>
      <c r="K14" s="191"/>
    </row>
    <row r="15">
      <c r="A15" s="188">
        <v>5.0</v>
      </c>
      <c r="B15" s="49" t="str">
        <f>'Secret. Escolar'!$B$10</f>
        <v>Cecília Resende dos Santos</v>
      </c>
      <c r="C15" s="49" t="str">
        <f>'Secret. Escolar'!$C$10</f>
        <v/>
      </c>
      <c r="D15" s="189">
        <f>'Frequência 1º Bim'!AI10</f>
        <v>0</v>
      </c>
      <c r="E15" s="189">
        <f>'Frequência 2º Bim'!AI10</f>
        <v>0</v>
      </c>
      <c r="F15" s="189">
        <f>'Frequência 3º Bim'!AI10</f>
        <v>0</v>
      </c>
      <c r="G15" s="189">
        <f>'Frequência 4º Bim'!AI10</f>
        <v>0</v>
      </c>
      <c r="H15" s="189">
        <f t="shared" si="1"/>
        <v>0</v>
      </c>
      <c r="I15" s="190">
        <f t="shared" si="2"/>
        <v>1</v>
      </c>
      <c r="J15" s="16"/>
      <c r="K15" s="191"/>
    </row>
    <row r="16">
      <c r="A16" s="188">
        <v>6.0</v>
      </c>
      <c r="B16" s="49" t="str">
        <f>'Secret. Escolar'!$B$11</f>
        <v>Emanuelly Vale da Silva</v>
      </c>
      <c r="C16" s="49" t="str">
        <f>'Secret. Escolar'!$C$11</f>
        <v/>
      </c>
      <c r="D16" s="189">
        <f>'Frequência 1º Bim'!AI11</f>
        <v>0</v>
      </c>
      <c r="E16" s="189">
        <f>'Frequência 2º Bim'!AI11</f>
        <v>0</v>
      </c>
      <c r="F16" s="189">
        <f>'Frequência 3º Bim'!AI11</f>
        <v>0</v>
      </c>
      <c r="G16" s="189">
        <f>'Frequência 4º Bim'!AI11</f>
        <v>0</v>
      </c>
      <c r="H16" s="189">
        <f t="shared" si="1"/>
        <v>0</v>
      </c>
      <c r="I16" s="190">
        <f t="shared" si="2"/>
        <v>1</v>
      </c>
      <c r="J16" s="16"/>
      <c r="K16" s="191"/>
    </row>
    <row r="17">
      <c r="A17" s="188">
        <v>7.0</v>
      </c>
      <c r="B17" s="49" t="str">
        <f>'Secret. Escolar'!$B$12</f>
        <v>Glloria Vitorya Moreira do Vale</v>
      </c>
      <c r="C17" s="49" t="str">
        <f>'Secret. Escolar'!$C$12</f>
        <v/>
      </c>
      <c r="D17" s="189">
        <f>'Frequência 1º Bim'!AI12</f>
        <v>0</v>
      </c>
      <c r="E17" s="189">
        <f>'Frequência 2º Bim'!AI12</f>
        <v>0</v>
      </c>
      <c r="F17" s="189">
        <f>'Frequência 3º Bim'!AI12</f>
        <v>0</v>
      </c>
      <c r="G17" s="189">
        <f>'Frequência 4º Bim'!AI12</f>
        <v>0</v>
      </c>
      <c r="H17" s="189">
        <f t="shared" si="1"/>
        <v>0</v>
      </c>
      <c r="I17" s="190">
        <f t="shared" si="2"/>
        <v>1</v>
      </c>
      <c r="J17" s="16"/>
      <c r="K17" s="191"/>
    </row>
    <row r="18">
      <c r="A18" s="188">
        <v>8.0</v>
      </c>
      <c r="B18" s="49" t="str">
        <f>'Secret. Escolar'!$B$13</f>
        <v>Izabelly Vitória Pereira Muniz</v>
      </c>
      <c r="C18" s="49" t="str">
        <f>'Secret. Escolar'!$C$13</f>
        <v/>
      </c>
      <c r="D18" s="189">
        <f>'Frequência 1º Bim'!AI13</f>
        <v>1</v>
      </c>
      <c r="E18" s="189">
        <f>'Frequência 2º Bim'!AI13</f>
        <v>0</v>
      </c>
      <c r="F18" s="189">
        <f>'Frequência 3º Bim'!AI13</f>
        <v>0</v>
      </c>
      <c r="G18" s="189">
        <f>'Frequência 4º Bim'!AI13</f>
        <v>0</v>
      </c>
      <c r="H18" s="189">
        <f t="shared" si="1"/>
        <v>1</v>
      </c>
      <c r="I18" s="190">
        <f t="shared" si="2"/>
        <v>0.95</v>
      </c>
      <c r="J18" s="16"/>
      <c r="K18" s="191"/>
    </row>
    <row r="19">
      <c r="A19" s="188">
        <v>9.0</v>
      </c>
      <c r="B19" s="49" t="str">
        <f>'Secret. Escolar'!$B$14</f>
        <v>Kaleu Carneiro Mesquita Tavares</v>
      </c>
      <c r="C19" s="49" t="str">
        <f>'Secret. Escolar'!$C$14</f>
        <v/>
      </c>
      <c r="D19" s="189">
        <f>'Frequência 1º Bim'!AI14</f>
        <v>0</v>
      </c>
      <c r="E19" s="189">
        <f>'Frequência 2º Bim'!AI14</f>
        <v>0</v>
      </c>
      <c r="F19" s="189">
        <f>'Frequência 3º Bim'!AI14</f>
        <v>0</v>
      </c>
      <c r="G19" s="189">
        <f>'Frequência 4º Bim'!AI14</f>
        <v>0</v>
      </c>
      <c r="H19" s="189">
        <f t="shared" si="1"/>
        <v>0</v>
      </c>
      <c r="I19" s="190">
        <f t="shared" si="2"/>
        <v>1</v>
      </c>
      <c r="J19" s="16"/>
      <c r="K19" s="191"/>
    </row>
    <row r="20">
      <c r="A20" s="188">
        <v>10.0</v>
      </c>
      <c r="B20" s="51" t="str">
        <f>'Secret. Escolar'!$B$15</f>
        <v>Lelimar Sofia Reyes Febres</v>
      </c>
      <c r="C20" s="49" t="str">
        <f>'Secret. Escolar'!$C$15</f>
        <v/>
      </c>
      <c r="D20" s="189">
        <f>'Frequência 1º Bim'!AI15</f>
        <v>0</v>
      </c>
      <c r="E20" s="189">
        <f>'Frequência 2º Bim'!AI15</f>
        <v>0</v>
      </c>
      <c r="F20" s="189">
        <f>'Frequência 3º Bim'!AI15</f>
        <v>0</v>
      </c>
      <c r="G20" s="189">
        <f>'Frequência 4º Bim'!AI15</f>
        <v>0</v>
      </c>
      <c r="H20" s="189">
        <f t="shared" si="1"/>
        <v>0</v>
      </c>
      <c r="I20" s="190">
        <f t="shared" si="2"/>
        <v>1</v>
      </c>
      <c r="J20" s="16"/>
      <c r="K20" s="191"/>
    </row>
    <row r="21">
      <c r="A21" s="188">
        <v>11.0</v>
      </c>
      <c r="B21" s="49" t="str">
        <f>'Secret. Escolar'!$B$16</f>
        <v>Luiz Gustavo Rodrigues Carneiro</v>
      </c>
      <c r="C21" s="49" t="str">
        <f>'Secret. Escolar'!$C$16</f>
        <v/>
      </c>
      <c r="D21" s="189">
        <f>'Frequência 1º Bim'!AI16</f>
        <v>0</v>
      </c>
      <c r="E21" s="189">
        <f>'Frequência 2º Bim'!AI16</f>
        <v>0</v>
      </c>
      <c r="F21" s="189">
        <f>'Frequência 3º Bim'!AI16</f>
        <v>0</v>
      </c>
      <c r="G21" s="189">
        <f>'Frequência 4º Bim'!AI16</f>
        <v>0</v>
      </c>
      <c r="H21" s="189">
        <f t="shared" si="1"/>
        <v>0</v>
      </c>
      <c r="I21" s="190">
        <f t="shared" si="2"/>
        <v>1</v>
      </c>
      <c r="J21" s="16"/>
      <c r="K21" s="191"/>
    </row>
    <row r="22">
      <c r="A22" s="188">
        <v>12.0</v>
      </c>
      <c r="B22" s="49" t="str">
        <f>'Secret. Escolar'!$B$17</f>
        <v>Luiz Otávio Santos de Sousa</v>
      </c>
      <c r="C22" s="49" t="str">
        <f>'Secret. Escolar'!$C$17</f>
        <v/>
      </c>
      <c r="D22" s="189">
        <f>'Frequência 1º Bim'!AI17</f>
        <v>0</v>
      </c>
      <c r="E22" s="189">
        <f>'Frequência 2º Bim'!AI17</f>
        <v>0</v>
      </c>
      <c r="F22" s="189">
        <f>'Frequência 3º Bim'!AI17</f>
        <v>0</v>
      </c>
      <c r="G22" s="189">
        <f>'Frequência 4º Bim'!AI17</f>
        <v>0</v>
      </c>
      <c r="H22" s="189">
        <f t="shared" si="1"/>
        <v>0</v>
      </c>
      <c r="I22" s="190">
        <f t="shared" si="2"/>
        <v>1</v>
      </c>
      <c r="J22" s="16"/>
      <c r="K22" s="191"/>
    </row>
    <row r="23">
      <c r="A23" s="188">
        <v>13.0</v>
      </c>
      <c r="B23" s="49" t="str">
        <f>'Secret. Escolar'!$B$18</f>
        <v>Maria Valentina de Souza</v>
      </c>
      <c r="C23" s="49" t="str">
        <f>'Secret. Escolar'!$C$18</f>
        <v/>
      </c>
      <c r="D23" s="189">
        <f>'Frequência 1º Bim'!AI18</f>
        <v>0</v>
      </c>
      <c r="E23" s="189">
        <f>'Frequência 2º Bim'!AI18</f>
        <v>0</v>
      </c>
      <c r="F23" s="189">
        <f>'Frequência 3º Bim'!AI18</f>
        <v>0</v>
      </c>
      <c r="G23" s="189">
        <f>'Frequência 4º Bim'!AI18</f>
        <v>0</v>
      </c>
      <c r="H23" s="189">
        <f t="shared" si="1"/>
        <v>0</v>
      </c>
      <c r="I23" s="190">
        <f t="shared" si="2"/>
        <v>1</v>
      </c>
      <c r="J23" s="16"/>
      <c r="K23" s="191"/>
    </row>
    <row r="24">
      <c r="A24" s="188">
        <v>14.0</v>
      </c>
      <c r="B24" s="49" t="str">
        <f>'Secret. Escolar'!$B$19</f>
        <v>Maysa Barros Caitano dos Santos</v>
      </c>
      <c r="C24" s="49" t="str">
        <f>'Secret. Escolar'!$C$19</f>
        <v/>
      </c>
      <c r="D24" s="189">
        <f>'Frequência 1º Bim'!AI19</f>
        <v>0</v>
      </c>
      <c r="E24" s="189">
        <f>'Frequência 2º Bim'!AI19</f>
        <v>0</v>
      </c>
      <c r="F24" s="189">
        <f>'Frequência 3º Bim'!AI19</f>
        <v>0</v>
      </c>
      <c r="G24" s="189">
        <f>'Frequência 4º Bim'!AI19</f>
        <v>0</v>
      </c>
      <c r="H24" s="189">
        <f t="shared" si="1"/>
        <v>0</v>
      </c>
      <c r="I24" s="190">
        <f t="shared" si="2"/>
        <v>1</v>
      </c>
      <c r="J24" s="16"/>
      <c r="K24" s="191"/>
    </row>
    <row r="25">
      <c r="A25" s="188">
        <v>15.0</v>
      </c>
      <c r="B25" s="49" t="str">
        <f>'Secret. Escolar'!$B$20</f>
        <v>Melissa Oliveira Magalhães</v>
      </c>
      <c r="C25" s="49" t="str">
        <f>'Secret. Escolar'!$C$20</f>
        <v/>
      </c>
      <c r="D25" s="189">
        <f>'Frequência 1º Bim'!AI20</f>
        <v>0</v>
      </c>
      <c r="E25" s="189">
        <f>'Frequência 2º Bim'!AI20</f>
        <v>0</v>
      </c>
      <c r="F25" s="189">
        <f>'Frequência 3º Bim'!AI20</f>
        <v>0</v>
      </c>
      <c r="G25" s="189">
        <f>'Frequência 4º Bim'!AI20</f>
        <v>0</v>
      </c>
      <c r="H25" s="189">
        <f t="shared" si="1"/>
        <v>0</v>
      </c>
      <c r="I25" s="190">
        <f t="shared" si="2"/>
        <v>1</v>
      </c>
      <c r="J25" s="16"/>
      <c r="K25" s="191"/>
    </row>
    <row r="26">
      <c r="A26" s="188">
        <v>16.0</v>
      </c>
      <c r="B26" s="49" t="str">
        <f>'Secret. Escolar'!$B$21</f>
        <v>Neilson de Oliveira Carneiro</v>
      </c>
      <c r="C26" s="49" t="str">
        <f>'Secret. Escolar'!$C$21</f>
        <v/>
      </c>
      <c r="D26" s="189">
        <f>'Frequência 1º Bim'!AI21</f>
        <v>0</v>
      </c>
      <c r="E26" s="189">
        <f>'Frequência 2º Bim'!AI21</f>
        <v>0</v>
      </c>
      <c r="F26" s="189">
        <f>'Frequência 3º Bim'!AI21</f>
        <v>0</v>
      </c>
      <c r="G26" s="189">
        <f>'Frequência 4º Bim'!AI21</f>
        <v>0</v>
      </c>
      <c r="H26" s="189">
        <f t="shared" si="1"/>
        <v>0</v>
      </c>
      <c r="I26" s="190">
        <f t="shared" si="2"/>
        <v>1</v>
      </c>
      <c r="J26" s="16"/>
      <c r="K26" s="191"/>
    </row>
    <row r="27">
      <c r="A27" s="188">
        <v>17.0</v>
      </c>
      <c r="B27" s="49" t="str">
        <f>'Secret. Escolar'!$B$22</f>
        <v>Sarah Gabrielle Coelho Lopes</v>
      </c>
      <c r="C27" s="49" t="str">
        <f>'Secret. Escolar'!$C$22</f>
        <v/>
      </c>
      <c r="D27" s="189">
        <f>'Frequência 1º Bim'!AI22</f>
        <v>0</v>
      </c>
      <c r="E27" s="189">
        <f>'Frequência 2º Bim'!AI22</f>
        <v>0</v>
      </c>
      <c r="F27" s="189">
        <f>'Frequência 3º Bim'!AI22</f>
        <v>0</v>
      </c>
      <c r="G27" s="189">
        <f>'Frequência 4º Bim'!AI22</f>
        <v>0</v>
      </c>
      <c r="H27" s="189">
        <f t="shared" si="1"/>
        <v>0</v>
      </c>
      <c r="I27" s="190">
        <f t="shared" si="2"/>
        <v>1</v>
      </c>
      <c r="J27" s="16"/>
      <c r="K27" s="191"/>
    </row>
    <row r="28">
      <c r="A28" s="188">
        <v>18.0</v>
      </c>
      <c r="B28" s="49" t="str">
        <f>'Secret. Escolar'!$B$23</f>
        <v>Sophia Pereira de Oliveira</v>
      </c>
      <c r="C28" s="49" t="str">
        <f>'Secret. Escolar'!$C$23</f>
        <v/>
      </c>
      <c r="D28" s="189">
        <f>'Frequência 1º Bim'!AI23</f>
        <v>0</v>
      </c>
      <c r="E28" s="189">
        <f>'Frequência 2º Bim'!AI23</f>
        <v>0</v>
      </c>
      <c r="F28" s="189">
        <f>'Frequência 3º Bim'!AI23</f>
        <v>0</v>
      </c>
      <c r="G28" s="189">
        <f>'Frequência 4º Bim'!AI23</f>
        <v>0</v>
      </c>
      <c r="H28" s="189">
        <f t="shared" si="1"/>
        <v>0</v>
      </c>
      <c r="I28" s="190">
        <f t="shared" si="2"/>
        <v>1</v>
      </c>
      <c r="J28" s="16"/>
      <c r="K28" s="191"/>
    </row>
    <row r="29">
      <c r="A29" s="188">
        <v>19.0</v>
      </c>
      <c r="B29" s="49" t="str">
        <f>'Secret. Escolar'!$B$24</f>
        <v>Wuilmer Adrian Ramos Salazar</v>
      </c>
      <c r="C29" s="49" t="str">
        <f>'Secret. Escolar'!$C$24</f>
        <v/>
      </c>
      <c r="D29" s="189">
        <f>'Frequência 1º Bim'!AI24</f>
        <v>0</v>
      </c>
      <c r="E29" s="189">
        <f>'Frequência 2º Bim'!AI24</f>
        <v>0</v>
      </c>
      <c r="F29" s="189">
        <f>'Frequência 3º Bim'!AI24</f>
        <v>0</v>
      </c>
      <c r="G29" s="189">
        <f>'Frequência 4º Bim'!AI24</f>
        <v>0</v>
      </c>
      <c r="H29" s="189">
        <f t="shared" si="1"/>
        <v>0</v>
      </c>
      <c r="I29" s="190">
        <f t="shared" si="2"/>
        <v>1</v>
      </c>
      <c r="J29" s="16"/>
      <c r="K29" s="191"/>
    </row>
    <row r="30">
      <c r="A30" s="188">
        <v>20.0</v>
      </c>
      <c r="B30" s="49" t="str">
        <f>'Secret. Escolar'!$B$25</f>
        <v/>
      </c>
      <c r="C30" s="49" t="str">
        <f>'Secret. Escolar'!$C$25</f>
        <v/>
      </c>
      <c r="D30" s="189">
        <f>'Frequência 1º Bim'!AI25</f>
        <v>0</v>
      </c>
      <c r="E30" s="189">
        <f>'Frequência 2º Bim'!AI25</f>
        <v>0</v>
      </c>
      <c r="F30" s="189">
        <f>'Frequência 3º Bim'!AI25</f>
        <v>0</v>
      </c>
      <c r="G30" s="189">
        <f>'Frequência 4º Bim'!AI25</f>
        <v>0</v>
      </c>
      <c r="H30" s="189">
        <f t="shared" si="1"/>
        <v>0</v>
      </c>
      <c r="I30" s="190">
        <f t="shared" si="2"/>
        <v>1</v>
      </c>
      <c r="J30" s="16"/>
      <c r="K30" s="191"/>
    </row>
    <row r="31">
      <c r="A31" s="188">
        <v>21.0</v>
      </c>
      <c r="B31" s="49" t="str">
        <f>'Secret. Escolar'!$B$26</f>
        <v/>
      </c>
      <c r="C31" s="49" t="str">
        <f>'Secret. Escolar'!$C$26</f>
        <v/>
      </c>
      <c r="D31" s="189">
        <f>'Frequência 1º Bim'!AI26</f>
        <v>0</v>
      </c>
      <c r="E31" s="189">
        <f>'Frequência 2º Bim'!AI26</f>
        <v>0</v>
      </c>
      <c r="F31" s="189">
        <f>'Frequência 3º Bim'!AI26</f>
        <v>0</v>
      </c>
      <c r="G31" s="189">
        <f>'Frequência 4º Bim'!AI26</f>
        <v>0</v>
      </c>
      <c r="H31" s="189">
        <f t="shared" si="1"/>
        <v>0</v>
      </c>
      <c r="I31" s="190">
        <f t="shared" si="2"/>
        <v>1</v>
      </c>
      <c r="J31" s="16"/>
      <c r="K31" s="191"/>
    </row>
    <row r="32">
      <c r="A32" s="188">
        <v>22.0</v>
      </c>
      <c r="B32" s="49" t="str">
        <f>'Secret. Escolar'!$B$27</f>
        <v/>
      </c>
      <c r="C32" s="49" t="str">
        <f>'Secret. Escolar'!$C$27</f>
        <v/>
      </c>
      <c r="D32" s="189">
        <f>'Frequência 1º Bim'!AI27</f>
        <v>0</v>
      </c>
      <c r="E32" s="189">
        <f>'Frequência 2º Bim'!AI27</f>
        <v>0</v>
      </c>
      <c r="F32" s="189">
        <f>'Frequência 3º Bim'!AI27</f>
        <v>0</v>
      </c>
      <c r="G32" s="189">
        <f>'Frequência 4º Bim'!AI27</f>
        <v>0</v>
      </c>
      <c r="H32" s="189">
        <f t="shared" si="1"/>
        <v>0</v>
      </c>
      <c r="I32" s="190">
        <f t="shared" si="2"/>
        <v>1</v>
      </c>
      <c r="J32" s="16"/>
      <c r="K32" s="191"/>
    </row>
    <row r="33">
      <c r="A33" s="188">
        <v>23.0</v>
      </c>
      <c r="B33" s="49" t="str">
        <f>'Secret. Escolar'!$B$28</f>
        <v/>
      </c>
      <c r="C33" s="49" t="str">
        <f>'Secret. Escolar'!$C$28</f>
        <v/>
      </c>
      <c r="D33" s="189">
        <f>'Frequência 1º Bim'!AI28</f>
        <v>0</v>
      </c>
      <c r="E33" s="189">
        <f>'Frequência 2º Bim'!AI28</f>
        <v>0</v>
      </c>
      <c r="F33" s="189">
        <f>'Frequência 3º Bim'!AI28</f>
        <v>0</v>
      </c>
      <c r="G33" s="189">
        <f>'Frequência 4º Bim'!AI28</f>
        <v>0</v>
      </c>
      <c r="H33" s="189">
        <f t="shared" si="1"/>
        <v>0</v>
      </c>
      <c r="I33" s="190">
        <f t="shared" si="2"/>
        <v>1</v>
      </c>
      <c r="J33" s="16"/>
      <c r="K33" s="191"/>
    </row>
    <row r="34">
      <c r="A34" s="188">
        <v>24.0</v>
      </c>
      <c r="B34" s="49" t="str">
        <f>'Secret. Escolar'!$B$29</f>
        <v/>
      </c>
      <c r="C34" s="49" t="str">
        <f>'Secret. Escolar'!$C$29</f>
        <v/>
      </c>
      <c r="D34" s="189">
        <f>'Frequência 1º Bim'!AI29</f>
        <v>0</v>
      </c>
      <c r="E34" s="189">
        <f>'Frequência 2º Bim'!AI29</f>
        <v>0</v>
      </c>
      <c r="F34" s="189">
        <f>'Frequência 3º Bim'!AI29</f>
        <v>0</v>
      </c>
      <c r="G34" s="189">
        <f>'Frequência 4º Bim'!AI29</f>
        <v>0</v>
      </c>
      <c r="H34" s="189">
        <f t="shared" si="1"/>
        <v>0</v>
      </c>
      <c r="I34" s="190">
        <f t="shared" si="2"/>
        <v>1</v>
      </c>
      <c r="J34" s="16"/>
      <c r="K34" s="191"/>
    </row>
    <row r="35">
      <c r="A35" s="188">
        <v>25.0</v>
      </c>
      <c r="B35" s="49" t="str">
        <f>'Secret. Escolar'!$B$30</f>
        <v/>
      </c>
      <c r="C35" s="49" t="str">
        <f>'Secret. Escolar'!$C$30</f>
        <v/>
      </c>
      <c r="D35" s="189">
        <f>'Frequência 1º Bim'!AI30</f>
        <v>0</v>
      </c>
      <c r="E35" s="189">
        <f>'Frequência 2º Bim'!AI30</f>
        <v>0</v>
      </c>
      <c r="F35" s="189">
        <f>'Frequência 3º Bim'!AI30</f>
        <v>0</v>
      </c>
      <c r="G35" s="189">
        <f>'Frequência 4º Bim'!AI30</f>
        <v>0</v>
      </c>
      <c r="H35" s="189">
        <f t="shared" si="1"/>
        <v>0</v>
      </c>
      <c r="I35" s="190">
        <f t="shared" si="2"/>
        <v>1</v>
      </c>
      <c r="J35" s="16"/>
      <c r="K35" s="191"/>
    </row>
    <row r="36">
      <c r="A36" s="188">
        <v>26.0</v>
      </c>
      <c r="B36" s="49" t="str">
        <f>'Secret. Escolar'!$B$31</f>
        <v/>
      </c>
      <c r="C36" s="49" t="str">
        <f>'Secret. Escolar'!$C$31</f>
        <v/>
      </c>
      <c r="D36" s="189">
        <f>'Frequência 1º Bim'!AI31</f>
        <v>0</v>
      </c>
      <c r="E36" s="189">
        <f>'Frequência 2º Bim'!AI31</f>
        <v>0</v>
      </c>
      <c r="F36" s="189">
        <f>'Frequência 3º Bim'!AI31</f>
        <v>0</v>
      </c>
      <c r="G36" s="189">
        <f>'Frequência 4º Bim'!AI31</f>
        <v>0</v>
      </c>
      <c r="H36" s="189">
        <f t="shared" si="1"/>
        <v>0</v>
      </c>
      <c r="I36" s="190">
        <f t="shared" si="2"/>
        <v>1</v>
      </c>
      <c r="J36" s="16"/>
      <c r="K36" s="191"/>
    </row>
    <row r="37">
      <c r="A37" s="188">
        <v>27.0</v>
      </c>
      <c r="B37" s="49" t="str">
        <f>'Secret. Escolar'!$B$32</f>
        <v/>
      </c>
      <c r="C37" s="49" t="str">
        <f>'Secret. Escolar'!$C$32</f>
        <v/>
      </c>
      <c r="D37" s="189">
        <f>'Frequência 1º Bim'!AI32</f>
        <v>0</v>
      </c>
      <c r="E37" s="189">
        <f>'Frequência 2º Bim'!AI32</f>
        <v>0</v>
      </c>
      <c r="F37" s="189">
        <f>'Frequência 3º Bim'!AI32</f>
        <v>0</v>
      </c>
      <c r="G37" s="189">
        <f>'Frequência 4º Bim'!AI32</f>
        <v>0</v>
      </c>
      <c r="H37" s="189">
        <f t="shared" si="1"/>
        <v>0</v>
      </c>
      <c r="I37" s="190">
        <f t="shared" si="2"/>
        <v>1</v>
      </c>
      <c r="J37" s="16"/>
      <c r="K37" s="191"/>
    </row>
    <row r="38">
      <c r="A38" s="188">
        <v>28.0</v>
      </c>
      <c r="B38" s="49" t="str">
        <f>'Secret. Escolar'!$B$33</f>
        <v/>
      </c>
      <c r="C38" s="49" t="str">
        <f>'Secret. Escolar'!$C$33</f>
        <v/>
      </c>
      <c r="D38" s="189">
        <f>'Frequência 1º Bim'!AI33</f>
        <v>0</v>
      </c>
      <c r="E38" s="189">
        <f>'Frequência 2º Bim'!AI33</f>
        <v>0</v>
      </c>
      <c r="F38" s="189">
        <f>'Frequência 3º Bim'!AI33</f>
        <v>0</v>
      </c>
      <c r="G38" s="189">
        <f>'Frequência 4º Bim'!AI33</f>
        <v>0</v>
      </c>
      <c r="H38" s="189">
        <f t="shared" si="1"/>
        <v>0</v>
      </c>
      <c r="I38" s="190">
        <f t="shared" si="2"/>
        <v>1</v>
      </c>
      <c r="J38" s="16"/>
      <c r="K38" s="191"/>
    </row>
    <row r="39">
      <c r="A39" s="188">
        <v>29.0</v>
      </c>
      <c r="B39" s="49" t="str">
        <f>'Secret. Escolar'!$B$34</f>
        <v/>
      </c>
      <c r="C39" s="49" t="str">
        <f>'Secret. Escolar'!$C$34</f>
        <v/>
      </c>
      <c r="D39" s="189">
        <f>'Frequência 1º Bim'!AI34</f>
        <v>0</v>
      </c>
      <c r="E39" s="189">
        <f>'Frequência 2º Bim'!AI34</f>
        <v>0</v>
      </c>
      <c r="F39" s="189">
        <f>'Frequência 3º Bim'!AI34</f>
        <v>0</v>
      </c>
      <c r="G39" s="189">
        <f>'Frequência 4º Bim'!AI34</f>
        <v>0</v>
      </c>
      <c r="H39" s="189">
        <f t="shared" si="1"/>
        <v>0</v>
      </c>
      <c r="I39" s="190">
        <f t="shared" si="2"/>
        <v>1</v>
      </c>
      <c r="J39" s="16"/>
      <c r="K39" s="191"/>
    </row>
    <row r="40">
      <c r="A40" s="188">
        <v>30.0</v>
      </c>
      <c r="B40" s="49" t="str">
        <f>'Secret. Escolar'!$B$35</f>
        <v/>
      </c>
      <c r="C40" s="49" t="str">
        <f>'Secret. Escolar'!$C$35</f>
        <v/>
      </c>
      <c r="D40" s="189">
        <f>'Frequência 1º Bim'!AI35</f>
        <v>0</v>
      </c>
      <c r="E40" s="189">
        <f>'Frequência 2º Bim'!AI35</f>
        <v>0</v>
      </c>
      <c r="F40" s="189">
        <f>'Frequência 3º Bim'!AI35</f>
        <v>0</v>
      </c>
      <c r="G40" s="189">
        <f>'Frequência 4º Bim'!AI35</f>
        <v>0</v>
      </c>
      <c r="H40" s="189">
        <f t="shared" si="1"/>
        <v>0</v>
      </c>
      <c r="I40" s="190">
        <f t="shared" si="2"/>
        <v>1</v>
      </c>
      <c r="J40" s="16"/>
      <c r="K40" s="191"/>
    </row>
    <row r="41">
      <c r="A41" s="188">
        <v>31.0</v>
      </c>
      <c r="B41" s="49" t="str">
        <f>'Secret. Escolar'!$B$36</f>
        <v/>
      </c>
      <c r="C41" s="49" t="str">
        <f>'Secret. Escolar'!$C$36</f>
        <v/>
      </c>
      <c r="D41" s="189">
        <f>'Frequência 1º Bim'!AI36</f>
        <v>0</v>
      </c>
      <c r="E41" s="189">
        <f>'Frequência 2º Bim'!AI36</f>
        <v>0</v>
      </c>
      <c r="F41" s="189">
        <f>'Frequência 3º Bim'!AI36</f>
        <v>0</v>
      </c>
      <c r="G41" s="189">
        <f>'Frequência 4º Bim'!AI36</f>
        <v>0</v>
      </c>
      <c r="H41" s="189">
        <f t="shared" si="1"/>
        <v>0</v>
      </c>
      <c r="I41" s="190">
        <f t="shared" si="2"/>
        <v>1</v>
      </c>
      <c r="J41" s="16"/>
      <c r="K41" s="191"/>
    </row>
    <row r="42">
      <c r="A42" s="188">
        <v>32.0</v>
      </c>
      <c r="B42" s="49" t="str">
        <f>'Secret. Escolar'!$B$37</f>
        <v/>
      </c>
      <c r="C42" s="49" t="str">
        <f>'Secret. Escolar'!$C$37</f>
        <v/>
      </c>
      <c r="D42" s="189">
        <f>'Frequência 1º Bim'!AI37</f>
        <v>0</v>
      </c>
      <c r="E42" s="189">
        <f>'Frequência 2º Bim'!AI37</f>
        <v>0</v>
      </c>
      <c r="F42" s="189">
        <f>'Frequência 3º Bim'!AI37</f>
        <v>0</v>
      </c>
      <c r="G42" s="189">
        <f>'Frequência 4º Bim'!AI37</f>
        <v>0</v>
      </c>
      <c r="H42" s="189">
        <f t="shared" si="1"/>
        <v>0</v>
      </c>
      <c r="I42" s="190">
        <f t="shared" si="2"/>
        <v>1</v>
      </c>
      <c r="J42" s="16"/>
      <c r="K42" s="191"/>
    </row>
    <row r="43">
      <c r="A43" s="188">
        <v>33.0</v>
      </c>
      <c r="B43" s="49" t="str">
        <f>'Secret. Escolar'!$B$38</f>
        <v/>
      </c>
      <c r="C43" s="49" t="str">
        <f>'Secret. Escolar'!$C$38</f>
        <v/>
      </c>
      <c r="D43" s="189">
        <f>'Frequência 1º Bim'!AI38</f>
        <v>0</v>
      </c>
      <c r="E43" s="189">
        <f>'Frequência 2º Bim'!AI38</f>
        <v>0</v>
      </c>
      <c r="F43" s="189">
        <f>'Frequência 3º Bim'!AI38</f>
        <v>0</v>
      </c>
      <c r="G43" s="189">
        <f>'Frequência 4º Bim'!AI38</f>
        <v>0</v>
      </c>
      <c r="H43" s="189">
        <f t="shared" si="1"/>
        <v>0</v>
      </c>
      <c r="I43" s="190">
        <f t="shared" si="2"/>
        <v>1</v>
      </c>
      <c r="J43" s="16"/>
      <c r="K43" s="191"/>
    </row>
    <row r="44">
      <c r="A44" s="188">
        <v>34.0</v>
      </c>
      <c r="B44" s="49" t="str">
        <f>'Secret. Escolar'!$B$39</f>
        <v/>
      </c>
      <c r="C44" s="49" t="str">
        <f>'Secret. Escolar'!$C$39</f>
        <v/>
      </c>
      <c r="D44" s="189">
        <f>'Frequência 1º Bim'!AI39</f>
        <v>0</v>
      </c>
      <c r="E44" s="189">
        <f>'Frequência 2º Bim'!AI39</f>
        <v>0</v>
      </c>
      <c r="F44" s="189">
        <f>'Frequência 3º Bim'!AI39</f>
        <v>0</v>
      </c>
      <c r="G44" s="189">
        <f>'Frequência 4º Bim'!AI39</f>
        <v>0</v>
      </c>
      <c r="H44" s="189">
        <f t="shared" si="1"/>
        <v>0</v>
      </c>
      <c r="I44" s="190">
        <f t="shared" si="2"/>
        <v>1</v>
      </c>
      <c r="J44" s="16"/>
      <c r="K44" s="191"/>
    </row>
    <row r="45">
      <c r="A45" s="188">
        <v>35.0</v>
      </c>
      <c r="B45" s="49" t="str">
        <f>'Secret. Escolar'!$B$40</f>
        <v/>
      </c>
      <c r="C45" s="49" t="str">
        <f>'Secret. Escolar'!$C$40</f>
        <v/>
      </c>
      <c r="D45" s="189">
        <f>'Frequência 1º Bim'!AI40</f>
        <v>0</v>
      </c>
      <c r="E45" s="189">
        <f>'Frequência 2º Bim'!AI40</f>
        <v>0</v>
      </c>
      <c r="F45" s="189">
        <f>'Frequência 3º Bim'!AI40</f>
        <v>0</v>
      </c>
      <c r="G45" s="189">
        <f>'Frequência 4º Bim'!AI40</f>
        <v>0</v>
      </c>
      <c r="H45" s="189">
        <f t="shared" si="1"/>
        <v>0</v>
      </c>
      <c r="I45" s="190">
        <f t="shared" si="2"/>
        <v>1</v>
      </c>
      <c r="J45" s="16"/>
      <c r="K45" s="191"/>
    </row>
    <row r="46">
      <c r="A46" s="188">
        <v>36.0</v>
      </c>
      <c r="B46" s="49" t="str">
        <f>'Secret. Escolar'!$B$41</f>
        <v/>
      </c>
      <c r="C46" s="49" t="str">
        <f>'Secret. Escolar'!$C$41</f>
        <v/>
      </c>
      <c r="D46" s="189">
        <f>'Frequência 1º Bim'!AI41</f>
        <v>0</v>
      </c>
      <c r="E46" s="189">
        <f>'Frequência 2º Bim'!AI41</f>
        <v>0</v>
      </c>
      <c r="F46" s="189">
        <f>'Frequência 3º Bim'!AI41</f>
        <v>0</v>
      </c>
      <c r="G46" s="189">
        <f>'Frequência 4º Bim'!AI41</f>
        <v>0</v>
      </c>
      <c r="H46" s="189">
        <f t="shared" si="1"/>
        <v>0</v>
      </c>
      <c r="I46" s="190">
        <f t="shared" si="2"/>
        <v>1</v>
      </c>
      <c r="J46" s="16"/>
      <c r="K46" s="191"/>
    </row>
    <row r="47">
      <c r="A47" s="188">
        <v>37.0</v>
      </c>
      <c r="B47" s="49" t="str">
        <f>'Secret. Escolar'!$B$42</f>
        <v/>
      </c>
      <c r="C47" s="49" t="str">
        <f>'Secret. Escolar'!$C$42</f>
        <v/>
      </c>
      <c r="D47" s="189">
        <f>'Frequência 1º Bim'!AI42</f>
        <v>0</v>
      </c>
      <c r="E47" s="189">
        <f>'Frequência 2º Bim'!AI42</f>
        <v>0</v>
      </c>
      <c r="F47" s="189">
        <f>'Frequência 3º Bim'!AI42</f>
        <v>0</v>
      </c>
      <c r="G47" s="189">
        <f>'Frequência 4º Bim'!AI42</f>
        <v>0</v>
      </c>
      <c r="H47" s="189">
        <f t="shared" si="1"/>
        <v>0</v>
      </c>
      <c r="I47" s="190">
        <f t="shared" si="2"/>
        <v>1</v>
      </c>
      <c r="J47" s="16"/>
      <c r="K47" s="191"/>
    </row>
    <row r="48">
      <c r="A48" s="188">
        <v>38.0</v>
      </c>
      <c r="B48" s="49" t="str">
        <f>'Secret. Escolar'!$B$43</f>
        <v/>
      </c>
      <c r="C48" s="49" t="str">
        <f>'Secret. Escolar'!$C$43</f>
        <v/>
      </c>
      <c r="D48" s="189">
        <f>'Frequência 1º Bim'!AI43</f>
        <v>0</v>
      </c>
      <c r="E48" s="189">
        <f>'Frequência 2º Bim'!AI43</f>
        <v>0</v>
      </c>
      <c r="F48" s="189">
        <f>'Frequência 3º Bim'!AI43</f>
        <v>0</v>
      </c>
      <c r="G48" s="189">
        <f>'Frequência 4º Bim'!AI43</f>
        <v>0</v>
      </c>
      <c r="H48" s="189">
        <f t="shared" si="1"/>
        <v>0</v>
      </c>
      <c r="I48" s="190">
        <f t="shared" si="2"/>
        <v>1</v>
      </c>
      <c r="J48" s="16"/>
      <c r="K48" s="191"/>
    </row>
    <row r="49">
      <c r="A49" s="188">
        <v>39.0</v>
      </c>
      <c r="B49" s="49" t="str">
        <f>'Secret. Escolar'!$B$44</f>
        <v/>
      </c>
      <c r="C49" s="49" t="str">
        <f>'Secret. Escolar'!$C$44</f>
        <v/>
      </c>
      <c r="D49" s="189">
        <f>'Frequência 1º Bim'!AI44</f>
        <v>0</v>
      </c>
      <c r="E49" s="189">
        <f>'Frequência 2º Bim'!AI44</f>
        <v>0</v>
      </c>
      <c r="F49" s="189">
        <f>'Frequência 3º Bim'!AI44</f>
        <v>0</v>
      </c>
      <c r="G49" s="189">
        <f>'Frequência 4º Bim'!AI44</f>
        <v>0</v>
      </c>
      <c r="H49" s="189">
        <f t="shared" si="1"/>
        <v>0</v>
      </c>
      <c r="I49" s="190">
        <f t="shared" si="2"/>
        <v>1</v>
      </c>
      <c r="J49" s="16"/>
      <c r="K49" s="191"/>
    </row>
    <row r="50">
      <c r="A50" s="188">
        <v>40.0</v>
      </c>
      <c r="B50" s="49" t="str">
        <f>'Secret. Escolar'!$B$45</f>
        <v/>
      </c>
      <c r="C50" s="49" t="str">
        <f>'Secret. Escolar'!$C$45</f>
        <v/>
      </c>
      <c r="D50" s="189">
        <f>'Frequência 1º Bim'!AI45</f>
        <v>0</v>
      </c>
      <c r="E50" s="189">
        <f>'Frequência 2º Bim'!AI45</f>
        <v>0</v>
      </c>
      <c r="F50" s="189">
        <f>'Frequência 3º Bim'!AI45</f>
        <v>0</v>
      </c>
      <c r="G50" s="189">
        <f>'Frequência 4º Bim'!AI45</f>
        <v>0</v>
      </c>
      <c r="H50" s="189">
        <f t="shared" si="1"/>
        <v>0</v>
      </c>
      <c r="I50" s="190">
        <f t="shared" si="2"/>
        <v>1</v>
      </c>
      <c r="J50" s="16"/>
      <c r="K50" s="191"/>
    </row>
    <row r="51">
      <c r="A51" s="188">
        <v>41.0</v>
      </c>
      <c r="B51" s="49" t="str">
        <f>'Secret. Escolar'!$B$46</f>
        <v/>
      </c>
      <c r="C51" s="49" t="str">
        <f>'Secret. Escolar'!$C$46</f>
        <v/>
      </c>
      <c r="D51" s="189">
        <f>'Frequência 1º Bim'!AI46</f>
        <v>0</v>
      </c>
      <c r="E51" s="189">
        <f>'Frequência 2º Bim'!AI46</f>
        <v>0</v>
      </c>
      <c r="F51" s="189">
        <f>'Frequência 3º Bim'!AI46</f>
        <v>0</v>
      </c>
      <c r="G51" s="189">
        <f>'Frequência 4º Bim'!AI46</f>
        <v>0</v>
      </c>
      <c r="H51" s="189">
        <f t="shared" si="1"/>
        <v>0</v>
      </c>
      <c r="I51" s="190">
        <f t="shared" si="2"/>
        <v>1</v>
      </c>
      <c r="J51" s="16"/>
      <c r="K51" s="191"/>
    </row>
    <row r="52">
      <c r="A52" s="188">
        <v>42.0</v>
      </c>
      <c r="B52" s="49" t="str">
        <f>'Secret. Escolar'!$B$47</f>
        <v/>
      </c>
      <c r="C52" s="49" t="str">
        <f>'Secret. Escolar'!$C$47</f>
        <v/>
      </c>
      <c r="D52" s="189">
        <f>'Frequência 1º Bim'!AI47</f>
        <v>0</v>
      </c>
      <c r="E52" s="189">
        <f>'Frequência 2º Bim'!AI47</f>
        <v>0</v>
      </c>
      <c r="F52" s="189">
        <f>'Frequência 3º Bim'!AI47</f>
        <v>0</v>
      </c>
      <c r="G52" s="189">
        <f>'Frequência 4º Bim'!AI47</f>
        <v>0</v>
      </c>
      <c r="H52" s="189">
        <f t="shared" si="1"/>
        <v>0</v>
      </c>
      <c r="I52" s="190">
        <f t="shared" si="2"/>
        <v>1</v>
      </c>
      <c r="J52" s="16"/>
      <c r="K52" s="191"/>
    </row>
    <row r="53">
      <c r="A53" s="188">
        <v>43.0</v>
      </c>
      <c r="B53" s="49" t="str">
        <f>'Secret. Escolar'!$B$48</f>
        <v/>
      </c>
      <c r="C53" s="49" t="str">
        <f>'Secret. Escolar'!$C$48</f>
        <v/>
      </c>
      <c r="D53" s="189">
        <f>'Frequência 1º Bim'!AI48</f>
        <v>0</v>
      </c>
      <c r="E53" s="189">
        <f>'Frequência 2º Bim'!AI48</f>
        <v>0</v>
      </c>
      <c r="F53" s="189">
        <f>'Frequência 3º Bim'!AI48</f>
        <v>0</v>
      </c>
      <c r="G53" s="189">
        <f>'Frequência 4º Bim'!AI48</f>
        <v>0</v>
      </c>
      <c r="H53" s="189">
        <f t="shared" si="1"/>
        <v>0</v>
      </c>
      <c r="I53" s="190">
        <f t="shared" si="2"/>
        <v>1</v>
      </c>
      <c r="J53" s="16"/>
      <c r="K53" s="191"/>
    </row>
    <row r="54">
      <c r="A54" s="188">
        <v>44.0</v>
      </c>
      <c r="B54" s="49" t="str">
        <f>'Secret. Escolar'!$B$49</f>
        <v/>
      </c>
      <c r="C54" s="49" t="str">
        <f>'Secret. Escolar'!$C$49</f>
        <v/>
      </c>
      <c r="D54" s="189">
        <f>'Frequência 1º Bim'!AI49</f>
        <v>0</v>
      </c>
      <c r="E54" s="189">
        <f>'Frequência 2º Bim'!AI49</f>
        <v>0</v>
      </c>
      <c r="F54" s="189">
        <f>'Frequência 3º Bim'!AI49</f>
        <v>0</v>
      </c>
      <c r="G54" s="189">
        <f>'Frequência 4º Bim'!AI49</f>
        <v>0</v>
      </c>
      <c r="H54" s="189">
        <f t="shared" si="1"/>
        <v>0</v>
      </c>
      <c r="I54" s="190">
        <f t="shared" si="2"/>
        <v>1</v>
      </c>
      <c r="J54" s="16"/>
      <c r="K54" s="191"/>
    </row>
    <row r="55">
      <c r="A55" s="188">
        <v>45.0</v>
      </c>
      <c r="B55" s="49" t="str">
        <f>'Secret. Escolar'!$B$50</f>
        <v/>
      </c>
      <c r="C55" s="49" t="str">
        <f>'Secret. Escolar'!$C$50</f>
        <v/>
      </c>
      <c r="D55" s="189">
        <f>'Frequência 1º Bim'!AI50</f>
        <v>0</v>
      </c>
      <c r="E55" s="189">
        <f>'Frequência 2º Bim'!AI50</f>
        <v>0</v>
      </c>
      <c r="F55" s="189">
        <f>'Frequência 3º Bim'!AI50</f>
        <v>0</v>
      </c>
      <c r="G55" s="189">
        <f>'Frequência 4º Bim'!AI50</f>
        <v>0</v>
      </c>
      <c r="H55" s="189">
        <f t="shared" si="1"/>
        <v>0</v>
      </c>
      <c r="I55" s="190">
        <f t="shared" si="2"/>
        <v>1</v>
      </c>
      <c r="J55" s="16"/>
      <c r="K55" s="191"/>
    </row>
    <row r="56">
      <c r="A56" s="188">
        <v>46.0</v>
      </c>
      <c r="B56" s="49" t="str">
        <f>'Secret. Escolar'!$B$51</f>
        <v/>
      </c>
      <c r="C56" s="49" t="str">
        <f>'Secret. Escolar'!$C$51</f>
        <v/>
      </c>
      <c r="D56" s="189">
        <f>'Frequência 1º Bim'!AI51</f>
        <v>0</v>
      </c>
      <c r="E56" s="189">
        <f>'Frequência 2º Bim'!AI51</f>
        <v>0</v>
      </c>
      <c r="F56" s="189">
        <f>'Frequência 3º Bim'!AI51</f>
        <v>0</v>
      </c>
      <c r="G56" s="189">
        <f>'Frequência 4º Bim'!AI51</f>
        <v>0</v>
      </c>
      <c r="H56" s="189">
        <f t="shared" si="1"/>
        <v>0</v>
      </c>
      <c r="I56" s="190">
        <f t="shared" si="2"/>
        <v>1</v>
      </c>
      <c r="J56" s="16"/>
      <c r="K56" s="191"/>
    </row>
    <row r="57">
      <c r="A57" s="188">
        <v>47.0</v>
      </c>
      <c r="B57" s="49" t="str">
        <f>'Secret. Escolar'!$B$52</f>
        <v/>
      </c>
      <c r="C57" s="49" t="str">
        <f>'Secret. Escolar'!$C$52</f>
        <v/>
      </c>
      <c r="D57" s="189">
        <f>'Frequência 1º Bim'!AI52</f>
        <v>0</v>
      </c>
      <c r="E57" s="189">
        <f>'Frequência 2º Bim'!AI52</f>
        <v>0</v>
      </c>
      <c r="F57" s="189">
        <f>'Frequência 3º Bim'!AI52</f>
        <v>0</v>
      </c>
      <c r="G57" s="189">
        <f>'Frequência 4º Bim'!AI52</f>
        <v>0</v>
      </c>
      <c r="H57" s="189">
        <f t="shared" si="1"/>
        <v>0</v>
      </c>
      <c r="I57" s="190">
        <f t="shared" si="2"/>
        <v>1</v>
      </c>
      <c r="J57" s="16"/>
      <c r="K57" s="191"/>
    </row>
    <row r="58">
      <c r="A58" s="188">
        <v>48.0</v>
      </c>
      <c r="B58" s="49" t="str">
        <f>'Secret. Escolar'!$B$53</f>
        <v/>
      </c>
      <c r="C58" s="49" t="str">
        <f>'Secret. Escolar'!$C$53</f>
        <v/>
      </c>
      <c r="D58" s="189">
        <f>'Frequência 1º Bim'!AI53</f>
        <v>0</v>
      </c>
      <c r="E58" s="189">
        <f>'Frequência 2º Bim'!AI53</f>
        <v>0</v>
      </c>
      <c r="F58" s="189">
        <f>'Frequência 3º Bim'!AI53</f>
        <v>0</v>
      </c>
      <c r="G58" s="189">
        <f>'Frequência 4º Bim'!AI53</f>
        <v>0</v>
      </c>
      <c r="H58" s="189">
        <f t="shared" si="1"/>
        <v>0</v>
      </c>
      <c r="I58" s="190">
        <f t="shared" si="2"/>
        <v>1</v>
      </c>
      <c r="J58" s="16"/>
      <c r="K58" s="191"/>
    </row>
    <row r="59">
      <c r="A59" s="188">
        <v>49.0</v>
      </c>
      <c r="B59" s="49" t="str">
        <f>'Secret. Escolar'!$B$54</f>
        <v/>
      </c>
      <c r="C59" s="49" t="str">
        <f>'Secret. Escolar'!$C$54</f>
        <v/>
      </c>
      <c r="D59" s="189">
        <f>'Frequência 1º Bim'!AI54</f>
        <v>0</v>
      </c>
      <c r="E59" s="189">
        <f>'Frequência 2º Bim'!AI54</f>
        <v>0</v>
      </c>
      <c r="F59" s="189">
        <f>'Frequência 3º Bim'!AI54</f>
        <v>0</v>
      </c>
      <c r="G59" s="189">
        <f>'Frequência 4º Bim'!AI54</f>
        <v>0</v>
      </c>
      <c r="H59" s="189">
        <f t="shared" si="1"/>
        <v>0</v>
      </c>
      <c r="I59" s="190">
        <f t="shared" si="2"/>
        <v>1</v>
      </c>
      <c r="J59" s="16"/>
      <c r="K59" s="191"/>
    </row>
    <row r="60">
      <c r="A60" s="188">
        <v>50.0</v>
      </c>
      <c r="B60" s="49" t="str">
        <f>'Secret. Escolar'!$B$55</f>
        <v/>
      </c>
      <c r="C60" s="49" t="str">
        <f>'Secret. Escolar'!$C$55</f>
        <v/>
      </c>
      <c r="D60" s="189">
        <f>'Frequência 1º Bim'!AI55</f>
        <v>0</v>
      </c>
      <c r="E60" s="189">
        <f>'Frequência 2º Bim'!AI55</f>
        <v>0</v>
      </c>
      <c r="F60" s="189">
        <f>'Frequência 3º Bim'!AI55</f>
        <v>0</v>
      </c>
      <c r="G60" s="189">
        <f>'Frequência 4º Bim'!AI55</f>
        <v>0</v>
      </c>
      <c r="H60" s="189">
        <f t="shared" si="1"/>
        <v>0</v>
      </c>
      <c r="I60" s="190">
        <f t="shared" si="2"/>
        <v>1</v>
      </c>
      <c r="J60" s="16"/>
      <c r="K60" s="191"/>
    </row>
    <row r="62" ht="39.75" customHeight="1"/>
    <row r="63">
      <c r="B63" s="9" t="s">
        <v>130</v>
      </c>
      <c r="C63" s="192" t="str">
        <f>"Professor(a): "&amp;Capa!I35</f>
        <v>Professor(a): </v>
      </c>
      <c r="H63" s="9" t="s">
        <v>131</v>
      </c>
      <c r="K63" s="9"/>
    </row>
  </sheetData>
  <mergeCells count="71">
    <mergeCell ref="I46:J46"/>
    <mergeCell ref="I47:J47"/>
    <mergeCell ref="I48:J48"/>
    <mergeCell ref="I49:J49"/>
    <mergeCell ref="I50:J50"/>
    <mergeCell ref="I51:J51"/>
    <mergeCell ref="I52:J52"/>
    <mergeCell ref="I60:J60"/>
    <mergeCell ref="I61:J61"/>
    <mergeCell ref="C62:F62"/>
    <mergeCell ref="H62:J62"/>
    <mergeCell ref="C63:F63"/>
    <mergeCell ref="H63:J63"/>
    <mergeCell ref="I64:J64"/>
    <mergeCell ref="I53:J53"/>
    <mergeCell ref="I54:J54"/>
    <mergeCell ref="I55:J55"/>
    <mergeCell ref="I56:J56"/>
    <mergeCell ref="I57:J57"/>
    <mergeCell ref="I58:J58"/>
    <mergeCell ref="I59:J59"/>
    <mergeCell ref="C1:F1"/>
    <mergeCell ref="C2:G2"/>
    <mergeCell ref="C3:G3"/>
    <mergeCell ref="B4:I4"/>
    <mergeCell ref="C5:G5"/>
    <mergeCell ref="A6:B7"/>
    <mergeCell ref="C6:J7"/>
    <mergeCell ref="D8:J8"/>
    <mergeCell ref="A8:A10"/>
    <mergeCell ref="B8:B10"/>
    <mergeCell ref="C8:C10"/>
    <mergeCell ref="K8:K10"/>
    <mergeCell ref="D9:G9"/>
    <mergeCell ref="H9:H10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</mergeCells>
  <dataValidations>
    <dataValidation type="list" allowBlank="1" showErrorMessage="1" sqref="K11:K60">
      <formula1>"Concluiu,Não Conc.,Transferido,Abandono,Desistente,Óbito"</formula1>
    </dataValidation>
  </dataValidations>
  <printOptions horizontalCentered="1"/>
  <pageMargins bottom="0.19685039370078738" footer="0.0" header="0.0" left="0.19685039370078738" right="0.19685039370078738" top="0.19685039370078738"/>
  <pageSetup paperSize="9" scale="65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88"/>
    <col customWidth="1" min="3" max="3" width="9.88"/>
    <col customWidth="1" min="4" max="5" width="11.88"/>
  </cols>
  <sheetData>
    <row r="1">
      <c r="A1" s="193" t="s">
        <v>132</v>
      </c>
      <c r="B1" s="194" t="s">
        <v>133</v>
      </c>
      <c r="C1" s="195" t="s">
        <v>134</v>
      </c>
      <c r="D1" s="195" t="s">
        <v>135</v>
      </c>
      <c r="E1" s="195" t="s">
        <v>136</v>
      </c>
    </row>
    <row r="2">
      <c r="A2" s="196" t="s">
        <v>137</v>
      </c>
      <c r="B2" s="197">
        <v>13.0</v>
      </c>
      <c r="C2" s="198">
        <v>14.5</v>
      </c>
      <c r="D2" s="198">
        <v>16.6</v>
      </c>
      <c r="E2" s="198">
        <v>18.0</v>
      </c>
    </row>
    <row r="3">
      <c r="A3" s="196" t="s">
        <v>138</v>
      </c>
      <c r="B3" s="197">
        <v>12.7</v>
      </c>
      <c r="C3" s="198">
        <v>14.3</v>
      </c>
      <c r="D3" s="198">
        <v>16.1</v>
      </c>
      <c r="E3" s="198">
        <v>17.4</v>
      </c>
    </row>
    <row r="4">
      <c r="A4" s="196" t="s">
        <v>139</v>
      </c>
      <c r="B4" s="197">
        <v>13.1</v>
      </c>
      <c r="C4" s="198">
        <v>15.0</v>
      </c>
      <c r="D4" s="198">
        <v>17.3</v>
      </c>
      <c r="E4" s="198">
        <v>19.1</v>
      </c>
    </row>
    <row r="5">
      <c r="A5" s="196" t="s">
        <v>140</v>
      </c>
      <c r="B5" s="197">
        <v>12.8</v>
      </c>
      <c r="C5" s="198">
        <v>14.9</v>
      </c>
      <c r="D5" s="198">
        <v>17.1</v>
      </c>
      <c r="E5" s="198">
        <v>18.9</v>
      </c>
    </row>
    <row r="6">
      <c r="A6" s="196" t="s">
        <v>141</v>
      </c>
      <c r="B6" s="197">
        <v>13.3</v>
      </c>
      <c r="C6" s="198">
        <v>15.6</v>
      </c>
      <c r="D6" s="198">
        <v>16.7</v>
      </c>
      <c r="E6" s="198">
        <v>20.3</v>
      </c>
    </row>
    <row r="7">
      <c r="A7" s="196" t="s">
        <v>142</v>
      </c>
      <c r="B7" s="197">
        <v>13.1</v>
      </c>
      <c r="C7" s="198">
        <v>15.6</v>
      </c>
      <c r="D7" s="198">
        <v>18.1</v>
      </c>
      <c r="E7" s="198">
        <v>20.3</v>
      </c>
    </row>
    <row r="8">
      <c r="A8" s="196" t="s">
        <v>143</v>
      </c>
      <c r="B8" s="197">
        <v>13.5</v>
      </c>
      <c r="C8" s="198">
        <v>16.1</v>
      </c>
      <c r="D8" s="198">
        <v>18.8</v>
      </c>
      <c r="E8" s="198">
        <v>21.4</v>
      </c>
    </row>
    <row r="9">
      <c r="A9" s="196" t="s">
        <v>144</v>
      </c>
      <c r="B9" s="197">
        <v>13.4</v>
      </c>
      <c r="C9" s="198">
        <v>16.3</v>
      </c>
      <c r="D9" s="198">
        <v>19.1</v>
      </c>
      <c r="E9" s="198">
        <v>21.7</v>
      </c>
    </row>
    <row r="10" ht="18.0" customHeight="1">
      <c r="A10" s="196" t="s">
        <v>145</v>
      </c>
      <c r="B10" s="197">
        <v>13.7</v>
      </c>
      <c r="C10" s="198">
        <v>16.7</v>
      </c>
      <c r="D10" s="198">
        <v>19.6</v>
      </c>
      <c r="E10" s="198">
        <v>22.5</v>
      </c>
    </row>
    <row r="11">
      <c r="A11" s="196" t="s">
        <v>146</v>
      </c>
      <c r="B11" s="197">
        <v>13.7</v>
      </c>
      <c r="C11" s="198">
        <v>17.0</v>
      </c>
      <c r="D11" s="198">
        <v>20.1</v>
      </c>
      <c r="E11" s="198">
        <v>23.2</v>
      </c>
    </row>
    <row r="12">
      <c r="A12" s="196" t="s">
        <v>147</v>
      </c>
      <c r="B12" s="197">
        <v>14.1</v>
      </c>
      <c r="C12" s="198">
        <v>17.2</v>
      </c>
      <c r="D12" s="198">
        <v>20.3</v>
      </c>
      <c r="E12" s="198">
        <v>23.7</v>
      </c>
    </row>
    <row r="13">
      <c r="A13" s="196" t="s">
        <v>148</v>
      </c>
      <c r="B13" s="197">
        <v>14.1</v>
      </c>
      <c r="C13" s="198">
        <v>17.6</v>
      </c>
      <c r="D13" s="198">
        <v>21.1</v>
      </c>
      <c r="E13" s="198">
        <v>24.5</v>
      </c>
    </row>
    <row r="14">
      <c r="A14" s="196" t="s">
        <v>149</v>
      </c>
      <c r="B14" s="197">
        <v>14.5</v>
      </c>
      <c r="C14" s="198">
        <v>17.8</v>
      </c>
      <c r="D14" s="198">
        <v>21.1</v>
      </c>
      <c r="E14" s="198">
        <v>24.8</v>
      </c>
    </row>
    <row r="15">
      <c r="A15" s="196" t="s">
        <v>150</v>
      </c>
      <c r="B15" s="197">
        <v>14.6</v>
      </c>
      <c r="C15" s="198">
        <v>18.3</v>
      </c>
      <c r="D15" s="198">
        <v>22.1</v>
      </c>
      <c r="E15" s="198">
        <v>25.9</v>
      </c>
    </row>
    <row r="16">
      <c r="A16" s="196" t="s">
        <v>151</v>
      </c>
      <c r="B16" s="197">
        <v>14.9</v>
      </c>
      <c r="C16" s="198">
        <v>18.5</v>
      </c>
      <c r="D16" s="198">
        <v>21.9</v>
      </c>
      <c r="E16" s="198">
        <v>25.9</v>
      </c>
    </row>
    <row r="17">
      <c r="A17" s="196" t="s">
        <v>152</v>
      </c>
      <c r="B17" s="197">
        <v>15.2</v>
      </c>
      <c r="C17" s="198">
        <v>18.9</v>
      </c>
      <c r="D17" s="198">
        <v>23.0</v>
      </c>
      <c r="E17" s="198">
        <v>27.7</v>
      </c>
    </row>
    <row r="18">
      <c r="A18" s="196" t="s">
        <v>153</v>
      </c>
      <c r="B18" s="197">
        <v>15.2</v>
      </c>
      <c r="C18" s="198">
        <v>19.2</v>
      </c>
      <c r="D18" s="198">
        <v>22.7</v>
      </c>
      <c r="E18" s="198">
        <v>26.9</v>
      </c>
    </row>
    <row r="19">
      <c r="A19" s="196" t="s">
        <v>154</v>
      </c>
      <c r="B19" s="197">
        <v>15.8</v>
      </c>
      <c r="C19" s="198">
        <v>19.3</v>
      </c>
      <c r="D19" s="198">
        <v>23.8</v>
      </c>
      <c r="E19" s="198">
        <v>27.9</v>
      </c>
    </row>
    <row r="20">
      <c r="A20" s="196" t="s">
        <v>155</v>
      </c>
      <c r="B20" s="197">
        <v>16.0</v>
      </c>
      <c r="C20" s="198">
        <v>19.9</v>
      </c>
      <c r="D20" s="198">
        <v>23.6</v>
      </c>
      <c r="E20" s="198">
        <v>27.7</v>
      </c>
    </row>
    <row r="21">
      <c r="A21" s="196" t="s">
        <v>156</v>
      </c>
      <c r="B21" s="197">
        <v>16.3</v>
      </c>
      <c r="C21" s="198">
        <v>19.6</v>
      </c>
      <c r="D21" s="198">
        <v>24.2</v>
      </c>
      <c r="E21" s="198">
        <v>28.8</v>
      </c>
    </row>
  </sheetData>
  <printOptions horizontalCentered="1"/>
  <pageMargins bottom="0.19685039370078738" footer="0.0" header="0.0" left="0.19685039370078738" right="0.19685039370078738" top="0.19685039370078738"/>
  <pageSetup paperSize="9" scale="65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99" t="s">
        <v>157</v>
      </c>
      <c r="B1" s="15"/>
      <c r="C1" s="15"/>
      <c r="D1" s="15"/>
      <c r="E1" s="16"/>
    </row>
    <row r="2">
      <c r="A2" s="199" t="s">
        <v>158</v>
      </c>
      <c r="B2" s="15"/>
      <c r="C2" s="15"/>
      <c r="D2" s="15"/>
      <c r="E2" s="16"/>
    </row>
    <row r="3">
      <c r="A3" s="200" t="s">
        <v>159</v>
      </c>
      <c r="B3" s="15"/>
      <c r="C3" s="15"/>
      <c r="D3" s="15"/>
      <c r="E3" s="16"/>
    </row>
    <row r="4">
      <c r="A4" s="199" t="s">
        <v>160</v>
      </c>
      <c r="B4" s="15"/>
      <c r="C4" s="15"/>
      <c r="D4" s="15"/>
      <c r="E4" s="16"/>
    </row>
    <row r="5">
      <c r="A5" s="199" t="s">
        <v>161</v>
      </c>
      <c r="B5" s="15"/>
      <c r="C5" s="15"/>
      <c r="D5" s="15"/>
      <c r="E5" s="16"/>
    </row>
    <row r="6">
      <c r="A6" s="199" t="s">
        <v>162</v>
      </c>
      <c r="B6" s="15"/>
      <c r="C6" s="15"/>
      <c r="D6" s="15"/>
      <c r="E6" s="16"/>
    </row>
    <row r="7">
      <c r="A7" s="201" t="s">
        <v>163</v>
      </c>
      <c r="B7" s="15"/>
      <c r="C7" s="15"/>
      <c r="D7" s="15"/>
      <c r="E7" s="16"/>
    </row>
    <row r="8">
      <c r="A8" s="202" t="s">
        <v>164</v>
      </c>
      <c r="B8" s="203"/>
      <c r="C8" s="203"/>
      <c r="D8" s="203"/>
      <c r="E8" s="139"/>
    </row>
    <row r="9">
      <c r="A9" s="204" t="s">
        <v>161</v>
      </c>
      <c r="E9" s="141"/>
    </row>
    <row r="10">
      <c r="A10" s="204" t="s">
        <v>165</v>
      </c>
      <c r="E10" s="141"/>
    </row>
    <row r="11">
      <c r="A11" s="204" t="s">
        <v>166</v>
      </c>
      <c r="E11" s="141"/>
    </row>
    <row r="12">
      <c r="A12" s="204" t="s">
        <v>167</v>
      </c>
      <c r="E12" s="141"/>
    </row>
    <row r="13">
      <c r="A13" s="204" t="s">
        <v>168</v>
      </c>
      <c r="E13" s="141"/>
    </row>
    <row r="14">
      <c r="A14" s="205" t="s">
        <v>65</v>
      </c>
      <c r="B14" s="203"/>
      <c r="C14" s="203"/>
      <c r="D14" s="203"/>
      <c r="E14" s="139"/>
    </row>
    <row r="15">
      <c r="A15" s="204" t="s">
        <v>169</v>
      </c>
      <c r="B15" s="206"/>
      <c r="C15" s="206"/>
      <c r="E15" s="141"/>
    </row>
    <row r="16">
      <c r="A16" s="207" t="s">
        <v>170</v>
      </c>
      <c r="B16" s="20"/>
      <c r="C16" s="208"/>
      <c r="D16" s="20"/>
      <c r="E16" s="21"/>
    </row>
    <row r="17">
      <c r="A17" s="209" t="s">
        <v>171</v>
      </c>
      <c r="B17" s="20"/>
      <c r="C17" s="20"/>
      <c r="D17" s="20"/>
      <c r="E17" s="21"/>
    </row>
    <row r="18">
      <c r="A18" s="210"/>
      <c r="B18" s="211"/>
      <c r="C18" s="212" t="s">
        <v>172</v>
      </c>
      <c r="D18" s="203"/>
      <c r="E18" s="139"/>
    </row>
    <row r="19">
      <c r="A19" s="213" t="s">
        <v>173</v>
      </c>
      <c r="B19" s="214"/>
      <c r="C19" s="215"/>
      <c r="D19" s="216"/>
      <c r="E19" s="217"/>
    </row>
    <row r="20">
      <c r="A20" s="213" t="s">
        <v>174</v>
      </c>
      <c r="B20" s="214"/>
      <c r="C20" s="94"/>
      <c r="D20" s="45"/>
      <c r="E20" s="45"/>
    </row>
    <row r="21">
      <c r="A21" s="213" t="s">
        <v>175</v>
      </c>
      <c r="B21" s="214"/>
      <c r="C21" s="218" t="s">
        <v>176</v>
      </c>
      <c r="D21" s="219" t="s">
        <v>177</v>
      </c>
      <c r="E21" s="219" t="s">
        <v>178</v>
      </c>
    </row>
    <row r="22">
      <c r="A22" s="213" t="s">
        <v>179</v>
      </c>
      <c r="B22" s="214"/>
      <c r="C22" s="218" t="s">
        <v>180</v>
      </c>
      <c r="D22" s="219" t="s">
        <v>181</v>
      </c>
      <c r="E22" s="219" t="s">
        <v>182</v>
      </c>
    </row>
    <row r="23">
      <c r="A23" s="213" t="s">
        <v>183</v>
      </c>
      <c r="B23" s="214"/>
      <c r="C23" s="218"/>
      <c r="D23" s="219"/>
      <c r="E23" s="220"/>
    </row>
    <row r="24">
      <c r="A24" s="213" t="s">
        <v>184</v>
      </c>
      <c r="B24" s="214"/>
      <c r="C24" s="94"/>
      <c r="D24" s="45"/>
      <c r="E24" s="45"/>
    </row>
    <row r="25">
      <c r="A25" s="221" t="s">
        <v>185</v>
      </c>
      <c r="B25" s="221"/>
      <c r="C25" s="94"/>
      <c r="D25" s="45"/>
      <c r="E25" s="45"/>
    </row>
    <row r="26">
      <c r="A26" s="222" t="s">
        <v>186</v>
      </c>
      <c r="B26" s="222"/>
      <c r="C26" s="96"/>
      <c r="D26" s="48"/>
      <c r="E26" s="48"/>
    </row>
  </sheetData>
  <mergeCells count="2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C19:C20"/>
    <mergeCell ref="C23:C26"/>
    <mergeCell ref="D23:D26"/>
    <mergeCell ref="E23:E26"/>
    <mergeCell ref="C15:E15"/>
    <mergeCell ref="A16:B16"/>
    <mergeCell ref="C16:E16"/>
    <mergeCell ref="A17:E17"/>
    <mergeCell ref="C18:E18"/>
    <mergeCell ref="D19:D20"/>
    <mergeCell ref="E19:E20"/>
  </mergeCells>
  <printOptions horizontalCentered="1"/>
  <pageMargins bottom="0.19685039370078738" footer="0.0" header="0.0" left="0.19685039370078738" right="0.19685039370078738" top="0.19685039370078738"/>
  <pageSetup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5" width="3.88"/>
    <col customWidth="1" min="6" max="6" width="4.13"/>
    <col customWidth="1" min="7" max="7" width="4.0"/>
    <col customWidth="1" min="8" max="9" width="3.88"/>
    <col customWidth="1" min="10" max="10" width="4.25"/>
    <col customWidth="1" min="11" max="11" width="4.0"/>
    <col customWidth="1" min="12" max="12" width="3.88"/>
    <col customWidth="1" min="13" max="13" width="4.13"/>
    <col customWidth="1" min="14" max="14" width="3.88"/>
    <col customWidth="1" min="15" max="15" width="3.63"/>
    <col customWidth="1" min="16" max="16" width="3.5"/>
    <col customWidth="1" min="17" max="17" width="4.13"/>
    <col customWidth="1" min="18" max="18" width="4.25"/>
    <col customWidth="1" min="19" max="19" width="4.13"/>
    <col customWidth="1" min="20" max="20" width="4.38"/>
    <col customWidth="1" min="21" max="22" width="4.13"/>
    <col customWidth="1" min="23" max="23" width="4.5"/>
  </cols>
  <sheetData>
    <row r="1">
      <c r="A1" s="1"/>
    </row>
    <row r="3">
      <c r="A3" s="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1"/>
    </row>
    <row r="4">
      <c r="C4" s="223"/>
      <c r="D4" s="223"/>
      <c r="E4" s="223"/>
      <c r="F4" s="224"/>
      <c r="G4" s="223"/>
      <c r="H4" s="223"/>
      <c r="I4" s="223"/>
      <c r="J4" s="223"/>
      <c r="K4" s="223"/>
      <c r="O4" s="223"/>
      <c r="P4" s="223"/>
      <c r="Q4" s="223"/>
      <c r="R4" s="223"/>
      <c r="S4" s="223"/>
      <c r="T4" s="223"/>
      <c r="U4" s="223"/>
    </row>
    <row r="5">
      <c r="C5" s="223"/>
      <c r="D5" s="223"/>
      <c r="E5" s="223"/>
      <c r="F5" s="223"/>
      <c r="G5" s="223"/>
      <c r="H5" s="223"/>
      <c r="I5" s="223"/>
      <c r="J5" s="223"/>
      <c r="O5" s="223"/>
      <c r="P5" s="223"/>
      <c r="Q5" s="223"/>
      <c r="R5" s="223"/>
      <c r="S5" s="223"/>
      <c r="T5" s="223"/>
      <c r="U5" s="223"/>
    </row>
    <row r="6">
      <c r="C6" s="223"/>
      <c r="D6" s="223"/>
      <c r="E6" s="223"/>
      <c r="F6" s="223"/>
      <c r="G6" s="223"/>
      <c r="H6" s="223"/>
      <c r="I6" s="223"/>
      <c r="J6" s="223"/>
      <c r="O6" s="223"/>
      <c r="P6" s="223"/>
      <c r="Q6" s="223"/>
      <c r="R6" s="223"/>
      <c r="S6" s="223"/>
      <c r="T6" s="223"/>
      <c r="U6" s="223"/>
    </row>
    <row r="7">
      <c r="C7" s="223"/>
      <c r="D7" s="223"/>
      <c r="E7" s="223"/>
      <c r="F7" s="223"/>
      <c r="G7" s="223"/>
      <c r="H7" s="223"/>
      <c r="I7" s="223"/>
      <c r="J7" s="223"/>
      <c r="O7" s="223"/>
      <c r="P7" s="223"/>
      <c r="Q7" s="223"/>
      <c r="R7" s="223"/>
      <c r="S7" s="223"/>
      <c r="T7" s="223"/>
      <c r="U7" s="223"/>
    </row>
    <row r="8">
      <c r="C8" s="223"/>
      <c r="D8" s="223"/>
      <c r="E8" s="223"/>
      <c r="F8" s="223"/>
      <c r="G8" s="223"/>
      <c r="H8" s="223"/>
      <c r="I8" s="223"/>
      <c r="J8" s="223"/>
      <c r="O8" s="223"/>
      <c r="P8" s="223"/>
      <c r="Q8" s="223"/>
      <c r="R8" s="223"/>
      <c r="S8" s="223"/>
      <c r="T8" s="223"/>
      <c r="U8" s="223"/>
    </row>
    <row r="9"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</row>
    <row r="10">
      <c r="C10" s="223"/>
      <c r="D10" s="223"/>
      <c r="E10" s="223"/>
      <c r="F10" s="225" t="s">
        <v>187</v>
      </c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</row>
    <row r="11"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</row>
    <row r="12">
      <c r="C12" s="226"/>
      <c r="D12" s="226"/>
      <c r="E12" s="226"/>
      <c r="F12" s="227" t="s">
        <v>188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</row>
    <row r="13">
      <c r="C13" s="226"/>
      <c r="D13" s="226"/>
      <c r="E13" s="226"/>
      <c r="F13" s="227" t="s">
        <v>189</v>
      </c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</row>
    <row r="14">
      <c r="C14" s="223"/>
      <c r="D14" s="223"/>
      <c r="E14" s="223"/>
      <c r="F14" s="227" t="s">
        <v>190</v>
      </c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</row>
    <row r="15">
      <c r="C15" s="24"/>
      <c r="D15" s="24"/>
      <c r="E15" s="24"/>
      <c r="F15" s="227" t="s">
        <v>191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>
      <c r="C16" s="24"/>
      <c r="D16" s="24"/>
      <c r="E16" s="24"/>
      <c r="F16" s="227" t="s">
        <v>192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>
      <c r="C17" s="24"/>
      <c r="D17" s="24"/>
      <c r="E17" s="24"/>
      <c r="F17" s="227" t="s">
        <v>193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>
      <c r="C18" s="24"/>
      <c r="D18" s="24"/>
      <c r="E18" s="24"/>
      <c r="F18" s="227" t="s">
        <v>194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>
      <c r="C19" s="223"/>
      <c r="D19" s="223"/>
      <c r="E19" s="223"/>
      <c r="F19" s="227" t="s">
        <v>195</v>
      </c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</row>
    <row r="20">
      <c r="C20" s="223"/>
      <c r="D20" s="223"/>
      <c r="E20" s="223"/>
      <c r="F20" s="228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</row>
    <row r="21">
      <c r="C21" s="24"/>
      <c r="D21" s="24"/>
      <c r="E21" s="24"/>
      <c r="F21" s="227" t="s">
        <v>196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>
      <c r="C22" s="24"/>
      <c r="D22" s="24"/>
      <c r="E22" s="24"/>
      <c r="F22" s="227" t="s">
        <v>197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>
      <c r="C23" s="24"/>
      <c r="D23" s="24"/>
      <c r="E23" s="24"/>
      <c r="F23" s="227" t="s">
        <v>198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>
      <c r="C24" s="24"/>
      <c r="D24" s="24"/>
      <c r="E24" s="24"/>
      <c r="F24" s="227" t="s">
        <v>199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>
      <c r="C25" s="223"/>
      <c r="D25" s="223"/>
      <c r="E25" s="223"/>
      <c r="F25" s="228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</row>
    <row r="26">
      <c r="C26" s="229"/>
      <c r="D26" s="229"/>
      <c r="E26" s="229"/>
      <c r="F26" s="227" t="s">
        <v>200</v>
      </c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</row>
    <row r="27">
      <c r="C27" s="229"/>
      <c r="D27" s="229"/>
      <c r="E27" s="229"/>
      <c r="F27" s="227" t="s">
        <v>201</v>
      </c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</row>
    <row r="28">
      <c r="C28" s="223"/>
      <c r="D28" s="223"/>
      <c r="E28" s="223"/>
      <c r="F28" s="227" t="s">
        <v>202</v>
      </c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</row>
    <row r="29">
      <c r="C29" s="223"/>
      <c r="D29" s="223"/>
      <c r="E29" s="223"/>
      <c r="F29" s="227" t="s">
        <v>203</v>
      </c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</row>
    <row r="30">
      <c r="C30" s="24"/>
      <c r="D30" s="24"/>
      <c r="E30" s="24"/>
      <c r="F30" s="227" t="s">
        <v>204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>
      <c r="C31" s="24"/>
      <c r="D31" s="24"/>
      <c r="E31" s="24"/>
      <c r="F31" s="227" t="s">
        <v>205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>
      <c r="C32" s="223"/>
      <c r="D32" s="223"/>
      <c r="E32" s="223"/>
      <c r="F32" s="227" t="s">
        <v>206</v>
      </c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</row>
    <row r="33">
      <c r="C33" s="24"/>
      <c r="D33" s="24"/>
      <c r="E33" s="24"/>
      <c r="F33" s="227" t="s">
        <v>207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</row>
    <row r="36"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</row>
    <row r="37"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</row>
    <row r="38"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</row>
    <row r="39"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</row>
    <row r="40"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</row>
    <row r="41"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</row>
    <row r="42"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</row>
    <row r="43"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</row>
    <row r="44"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</row>
    <row r="45"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</row>
    <row r="46"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</row>
    <row r="47"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</row>
    <row r="48"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</row>
    <row r="49"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</row>
    <row r="50"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</row>
    <row r="51"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</row>
    <row r="52"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</row>
    <row r="53"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</row>
    <row r="54">
      <c r="A54" s="1"/>
    </row>
  </sheetData>
  <mergeCells count="5">
    <mergeCell ref="A1:W2"/>
    <mergeCell ref="A3:B53"/>
    <mergeCell ref="V3:W55"/>
    <mergeCell ref="K4:N8"/>
    <mergeCell ref="A54:U55"/>
  </mergeCells>
  <printOptions horizontalCentered="1"/>
  <pageMargins bottom="0.19685039370078738" footer="0.0" header="0.0" left="0.19685039370078738" right="0.19685039370078738" top="0.19685039370078738"/>
  <pageSetup paperSize="9" scale="84" cellComments="atEnd" orientation="portrait" pageOrder="overThenDown"/>
  <drawing r:id="rId1"/>
</worksheet>
</file>